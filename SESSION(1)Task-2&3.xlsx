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8dd676668a83e6/Desktop/DATA ANALYTICS ASSIGNMENTS/SESSION-1/"/>
    </mc:Choice>
  </mc:AlternateContent>
  <xr:revisionPtr revIDLastSave="11" documentId="8_{45689282-108C-457A-BA71-DEEE8E2A2859}" xr6:coauthVersionLast="47" xr6:coauthVersionMax="47" xr10:uidLastSave="{D48B818D-58CB-4672-947F-DF10C857D833}"/>
  <bookViews>
    <workbookView xWindow="-108" yWindow="-108" windowWidth="23256" windowHeight="12576" xr2:uid="{00000000-000D-0000-FFFF-FFFF00000000}"/>
  </bookViews>
  <sheets>
    <sheet name="Songs" sheetId="1" r:id="rId1"/>
    <sheet name="Artists" sheetId="2" r:id="rId2"/>
  </sheets>
  <definedNames>
    <definedName name="_xlnm._FilterDatabase" localSheetId="0" hidden="1">Songs!$A$1:$R$1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<sst xmlns="http://schemas.openxmlformats.org/spreadsheetml/2006/main" count="97" uniqueCount="59">
  <si>
    <t>Artist Name(s)</t>
  </si>
  <si>
    <t>Release Date</t>
  </si>
  <si>
    <t>Duration (ms)</t>
  </si>
  <si>
    <t>Popularity</t>
  </si>
  <si>
    <t>Genres</t>
  </si>
  <si>
    <t>Record Label</t>
  </si>
  <si>
    <t xml:space="preserve">				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</si>
  <si>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</si>
  <si>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</si>
  <si>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</si>
  <si>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</si>
  <si>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</si>
  <si>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</si>
  <si>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</si>
  <si>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</si>
  <si>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</si>
  <si>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</si>
  <si>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 Signature</t>
  </si>
  <si>
    <t>Chains</t>
  </si>
  <si>
    <t>Nick Jonas</t>
  </si>
  <si>
    <t>dance pop,pop</t>
  </si>
  <si>
    <t>Safehouse Records / Island Records</t>
  </si>
  <si>
    <t>Secrets</t>
  </si>
  <si>
    <t>Mary Lambert</t>
  </si>
  <si>
    <t>neo mellow</t>
  </si>
  <si>
    <t>Capitol Records (CAP)</t>
  </si>
  <si>
    <t>I Know Places (Taylor's Version)</t>
  </si>
  <si>
    <t>Taylor Swift</t>
  </si>
  <si>
    <t>pop</t>
  </si>
  <si>
    <t>Delta 1406</t>
  </si>
  <si>
    <t>Mike Posner</t>
  </si>
  <si>
    <t>dance pop,pop,pop dance,pop rap</t>
  </si>
  <si>
    <t>J Records</t>
  </si>
  <si>
    <t>Stay With Me - Re-record</t>
  </si>
  <si>
    <t>Sam Smith</t>
  </si>
  <si>
    <t>pop,uk pop</t>
  </si>
  <si>
    <t>PLG - Capitol</t>
  </si>
  <si>
    <t>Without Those Songs</t>
  </si>
  <si>
    <t>The Script</t>
  </si>
  <si>
    <t>celtic rock,pop</t>
  </si>
  <si>
    <t>Columbia</t>
  </si>
  <si>
    <t>The Heart Wants What It Wants</t>
  </si>
  <si>
    <t>Selena Gomez</t>
  </si>
  <si>
    <t>pop,post-teen pop</t>
  </si>
  <si>
    <t>Hollywood Records</t>
  </si>
  <si>
    <t>Rebel Beat</t>
  </si>
  <si>
    <t>The Goo Goo Dolls</t>
  </si>
  <si>
    <t>neo mellow,permanent wave,pop rock,post-grunge</t>
  </si>
  <si>
    <t>Warner Records</t>
  </si>
  <si>
    <t>Let Her Go</t>
  </si>
  <si>
    <t>Passenger</t>
  </si>
  <si>
    <t>folk-pop,neo mellow</t>
  </si>
  <si>
    <t>Nettwerk Records</t>
  </si>
  <si>
    <t>Always in My Head</t>
  </si>
  <si>
    <t>Coldplay</t>
  </si>
  <si>
    <t>permanent wave,pop</t>
  </si>
  <si>
    <t>Parlophone UK</t>
  </si>
  <si>
    <t>Song Name</t>
  </si>
  <si>
    <t>total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</si>
</sst>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0" borderId="0" xfId="0" applyFont="1"/>
    <xf numFmtId="0" fontId="18" fillId="0" borderId="10" xfId="0" applyFont="1" applyBorder="1"/>
    <xf numFmtId="0" fontId="16" fillId="0" borderId="11" xfId="0" applyFont="1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2" totalsRowShown="0" headerRowDxfId="3">
  <autoFilter ref="A1:R12" xr:uid="{00000000-0009-0000-0100-000001000000}"/>
  <tableColumns count="18">
    <tableColumn id="1" xr3:uid="{00000000-0010-0000-0000-000001000000}" name="Song Name"/>
    <tableColumn id="20" xr3:uid="{00000000-0010-0000-0000-000014000000}" name="Duration (ms)"/>
    <tableColumn id="3" xr3:uid="{00000000-0010-0000-0000-000003000000}" name="Release Date" dataDxfId="2"/>
    <tableColumn id="5" xr3:uid="{00000000-0010-0000-0000-000005000000}" name="Popularity"/>
    <tableColumn id="6" xr3:uid="{00000000-0010-0000-0000-000006000000}" name="Genres"/>
    <tableColumn id="7" xr3:uid="{00000000-0010-0000-0000-000007000000}" name="Record Label"/>
    <tableColumn id="8" xr3:uid="{00000000-0010-0000-0000-000008000000}" name="_x0009__x0009__x0009__x0009_Danceability"/>
    <tableColumn id="9" xr3:uid="{00000000-0010-0000-0000-000009000000}" name="Energy"/>
    <tableColumn id="10" xr3:uid="{00000000-0010-0000-0000-00000A000000}" name="Key"/>
    <tableColumn id="11" xr3:uid="{00000000-0010-0000-0000-00000B000000}" name="Loudness"/>
    <tableColumn id="12" xr3:uid="{00000000-0010-0000-0000-00000C000000}" name="Mode"/>
    <tableColumn id="13" xr3:uid="{00000000-0010-0000-0000-00000D000000}" name="Speechiness"/>
    <tableColumn id="14" xr3:uid="{00000000-0010-0000-0000-00000E000000}" name="Acousticness"/>
    <tableColumn id="15" xr3:uid="{00000000-0010-0000-0000-00000F000000}" name="Instrumentalness"/>
    <tableColumn id="16" xr3:uid="{00000000-0010-0000-0000-000010000000}" name="Liveness"/>
    <tableColumn id="17" xr3:uid="{00000000-0010-0000-0000-000011000000}" name="Valence"/>
    <tableColumn id="18" xr3:uid="{00000000-0010-0000-0000-000012000000}" name="Tempo"/>
    <tableColumn id="19" xr3:uid="{00000000-0010-0000-0000-000013000000}" name="Time Signatur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R11" totalsRowShown="0" headerRowDxfId="1">
  <autoFilter ref="A1:R11" xr:uid="{00000000-0009-0000-0100-000002000000}"/>
  <tableColumns count="18">
    <tableColumn id="2" xr3:uid="{00000000-0010-0000-0100-000002000000}" name="Artist Name(s)"/>
    <tableColumn id="20" xr3:uid="{00000000-0010-0000-0100-000014000000}" name="Duration (ms)"/>
    <tableColumn id="3" xr3:uid="{00000000-0010-0000-0100-000003000000}" name="Release Date" dataDxfId="0"/>
    <tableColumn id="5" xr3:uid="{00000000-0010-0000-0100-000005000000}" name="Popularity"/>
    <tableColumn id="6" xr3:uid="{00000000-0010-0000-0100-000006000000}" name="Genres"/>
    <tableColumn id="7" xr3:uid="{00000000-0010-0000-0100-000007000000}" name="Record Label"/>
    <tableColumn id="8" xr3:uid="{00000000-0010-0000-0100-000008000000}" name="_x0009__x0009__x0009__x0009_Danceability"/>
    <tableColumn id="9" xr3:uid="{00000000-0010-0000-0100-000009000000}" name="Energy"/>
    <tableColumn id="10" xr3:uid="{00000000-0010-0000-0100-00000A000000}" name="Key"/>
    <tableColumn id="11" xr3:uid="{00000000-0010-0000-0100-00000B000000}" name="Loudness"/>
    <tableColumn id="12" xr3:uid="{00000000-0010-0000-0100-00000C000000}" name="Mode"/>
    <tableColumn id="13" xr3:uid="{00000000-0010-0000-0100-00000D000000}" name="Speechiness"/>
    <tableColumn id="14" xr3:uid="{00000000-0010-0000-0100-00000E000000}" name="Acousticness"/>
    <tableColumn id="15" xr3:uid="{00000000-0010-0000-0100-00000F000000}" name="Instrumentalness"/>
    <tableColumn id="16" xr3:uid="{00000000-0010-0000-0100-000010000000}" name="Liveness"/>
    <tableColumn id="17" xr3:uid="{00000000-0010-0000-0100-000011000000}" name="Valence"/>
    <tableColumn id="18" xr3:uid="{00000000-0010-0000-0100-000012000000}" name="Tempo"/>
    <tableColumn id="19" xr3:uid="{00000000-0010-0000-0100-000013000000}" name="Time Signatu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6"/>
  <sheetViews>
    <sheetView tabSelected="1" workbookViewId="0">
      <selection activeCell="D23" sqref="D23"/>
    </sheetView>
  </sheetViews>
  <sheetFormatPr defaultRowHeight="14.4" x14ac:dyDescent="0.3"/>
  <cols>
    <col min="1" max="1" width="28.88671875" customWidth="1"/>
    <col min="2" max="2" width="15.33203125" bestFit="1" customWidth="1"/>
    <col min="3" max="3" width="13.88671875" bestFit="1" customWidth="1"/>
    <col min="4" max="4" width="14.77734375" bestFit="1" customWidth="1"/>
    <col min="5" max="5" width="42.5546875" customWidth="1"/>
    <col min="6" max="6" width="31.44140625" customWidth="1"/>
    <col min="7" max="7" width="16.44140625" customWidth="1"/>
    <col min="8" max="8" width="17.6640625" bestFit="1" customWidth="1"/>
    <col min="9" max="9" width="9" bestFit="1" customWidth="1"/>
    <col min="10" max="10" width="6.33203125" bestFit="1" customWidth="1"/>
    <col min="11" max="11" width="11.109375" bestFit="1" customWidth="1"/>
    <col min="12" max="12" width="8.21875" bestFit="1" customWidth="1"/>
    <col min="13" max="13" width="13.44140625" bestFit="1" customWidth="1"/>
    <col min="14" max="14" width="14" bestFit="1" customWidth="1"/>
    <col min="15" max="15" width="17.77734375" bestFit="1" customWidth="1"/>
    <col min="16" max="16" width="10.21875" bestFit="1" customWidth="1"/>
    <col min="17" max="17" width="9.88671875" bestFit="1" customWidth="1"/>
    <col min="18" max="18" width="18.33203125" customWidth="1"/>
    <col min="19" max="19" width="15.88671875" bestFit="1" customWidth="1"/>
  </cols>
  <sheetData>
    <row r="1" spans="1:18" s="3" customFormat="1" x14ac:dyDescent="0.3">
      <c r="A1" s="3" t="s">
        <v>57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t="s">
        <v>18</v>
      </c>
      <c r="B2" s="6">
        <v>203106</v>
      </c>
      <c r="C2" s="1">
        <v>42328</v>
      </c>
      <c r="D2">
        <v>55</v>
      </c>
      <c r="E2" t="s">
        <v>20</v>
      </c>
      <c r="F2" t="s">
        <v>21</v>
      </c>
      <c r="G2">
        <v>0.59099999999999997</v>
      </c>
      <c r="H2">
        <v>0.61099999999999999</v>
      </c>
      <c r="I2">
        <v>0</v>
      </c>
      <c r="J2">
        <v>-5.8840000000000003</v>
      </c>
      <c r="K2">
        <v>0</v>
      </c>
      <c r="L2">
        <v>4.5400000000000003E-2</v>
      </c>
      <c r="M2">
        <v>1.5299999999999999E-2</v>
      </c>
      <c r="N2">
        <v>0</v>
      </c>
      <c r="O2">
        <v>7.5700000000000003E-2</v>
      </c>
      <c r="P2">
        <v>0.12</v>
      </c>
      <c r="Q2">
        <v>76.003</v>
      </c>
      <c r="R2">
        <v>4</v>
      </c>
    </row>
    <row r="3" spans="1:18" x14ac:dyDescent="0.3">
      <c r="A3" t="s">
        <v>22</v>
      </c>
      <c r="B3" s="6">
        <v>223405</v>
      </c>
      <c r="C3" s="1">
        <v>41926</v>
      </c>
      <c r="D3">
        <v>39</v>
      </c>
      <c r="E3" t="s">
        <v>24</v>
      </c>
      <c r="F3" t="s">
        <v>25</v>
      </c>
      <c r="G3">
        <v>0.78900000000000003</v>
      </c>
      <c r="H3">
        <v>0.55500000000000005</v>
      </c>
      <c r="I3">
        <v>0</v>
      </c>
      <c r="J3">
        <v>-5.9</v>
      </c>
      <c r="K3">
        <v>1</v>
      </c>
      <c r="L3">
        <v>4.1000000000000002E-2</v>
      </c>
      <c r="M3">
        <v>2.5999999999999999E-2</v>
      </c>
      <c r="N3">
        <v>1.35E-4</v>
      </c>
      <c r="O3">
        <v>0.215</v>
      </c>
      <c r="P3">
        <v>0.71299999999999997</v>
      </c>
      <c r="Q3">
        <v>93.228999999999999</v>
      </c>
      <c r="R3">
        <v>4</v>
      </c>
    </row>
    <row r="4" spans="1:18" x14ac:dyDescent="0.3">
      <c r="A4" t="s">
        <v>26</v>
      </c>
      <c r="B4" s="6">
        <v>195700</v>
      </c>
      <c r="C4" s="1">
        <v>45225</v>
      </c>
      <c r="D4">
        <v>63</v>
      </c>
      <c r="E4" t="s">
        <v>28</v>
      </c>
      <c r="F4" t="s">
        <v>27</v>
      </c>
      <c r="G4">
        <v>0.57199999999999995</v>
      </c>
      <c r="H4">
        <v>0.80700000000000005</v>
      </c>
      <c r="I4">
        <v>0</v>
      </c>
      <c r="J4">
        <v>-5.3479999999999999</v>
      </c>
      <c r="K4">
        <v>1</v>
      </c>
      <c r="L4">
        <v>5.74E-2</v>
      </c>
      <c r="M4">
        <v>8.4599999999999995E-2</v>
      </c>
      <c r="N4">
        <v>0</v>
      </c>
      <c r="O4">
        <v>7.0999999999999994E-2</v>
      </c>
      <c r="P4">
        <v>0.626</v>
      </c>
      <c r="Q4">
        <v>160.01499999999999</v>
      </c>
      <c r="R4">
        <v>4</v>
      </c>
    </row>
    <row r="5" spans="1:18" x14ac:dyDescent="0.3">
      <c r="A5" t="s">
        <v>29</v>
      </c>
      <c r="B5" s="6">
        <v>184546</v>
      </c>
      <c r="C5" s="1">
        <v>40399</v>
      </c>
      <c r="D5">
        <v>19</v>
      </c>
      <c r="E5" t="s">
        <v>31</v>
      </c>
      <c r="F5" t="s">
        <v>32</v>
      </c>
      <c r="G5">
        <v>0.68799999999999994</v>
      </c>
      <c r="H5">
        <v>0.61599999999999999</v>
      </c>
      <c r="I5">
        <v>1</v>
      </c>
      <c r="J5">
        <v>-7.3339999999999996</v>
      </c>
      <c r="K5">
        <v>1</v>
      </c>
      <c r="L5">
        <v>4.5100000000000001E-2</v>
      </c>
      <c r="M5">
        <v>1.38E-2</v>
      </c>
      <c r="N5">
        <v>4.6099999999999998E-4</v>
      </c>
      <c r="O5">
        <v>0.121</v>
      </c>
      <c r="P5">
        <v>0.20499999999999999</v>
      </c>
      <c r="Q5">
        <v>87.043000000000006</v>
      </c>
      <c r="R5">
        <v>4</v>
      </c>
    </row>
    <row r="6" spans="1:18" x14ac:dyDescent="0.3">
      <c r="A6" t="s">
        <v>33</v>
      </c>
      <c r="B6" s="6">
        <v>172760</v>
      </c>
      <c r="C6" s="1">
        <v>45534</v>
      </c>
      <c r="D6">
        <v>38</v>
      </c>
      <c r="E6" t="s">
        <v>35</v>
      </c>
      <c r="F6" t="s">
        <v>36</v>
      </c>
      <c r="G6">
        <v>0.51500000000000001</v>
      </c>
      <c r="H6">
        <v>0.41</v>
      </c>
      <c r="I6">
        <v>0</v>
      </c>
      <c r="J6">
        <v>-7.1210000000000004</v>
      </c>
      <c r="K6">
        <v>1</v>
      </c>
      <c r="L6">
        <v>4.1099999999999998E-2</v>
      </c>
      <c r="M6">
        <v>0.55500000000000005</v>
      </c>
      <c r="N6">
        <v>4.0800000000000002E-5</v>
      </c>
      <c r="O6">
        <v>0.10299999999999999</v>
      </c>
      <c r="P6">
        <v>0.246</v>
      </c>
      <c r="Q6">
        <v>84.837000000000003</v>
      </c>
      <c r="R6">
        <v>4</v>
      </c>
    </row>
    <row r="7" spans="1:18" x14ac:dyDescent="0.3">
      <c r="A7" t="s">
        <v>37</v>
      </c>
      <c r="B7" s="6">
        <v>226293</v>
      </c>
      <c r="C7" s="1">
        <v>41897</v>
      </c>
      <c r="D7">
        <v>34</v>
      </c>
      <c r="E7" t="s">
        <v>39</v>
      </c>
      <c r="F7" t="s">
        <v>40</v>
      </c>
      <c r="G7">
        <v>0.48099999999999998</v>
      </c>
      <c r="H7">
        <v>0.52400000000000002</v>
      </c>
      <c r="I7">
        <v>7</v>
      </c>
      <c r="J7">
        <v>-7.0350000000000001</v>
      </c>
      <c r="K7">
        <v>1</v>
      </c>
      <c r="L7">
        <v>3.0200000000000001E-2</v>
      </c>
      <c r="M7">
        <v>3.15E-2</v>
      </c>
      <c r="N7">
        <v>1.08E-6</v>
      </c>
      <c r="O7">
        <v>0.23499999999999999</v>
      </c>
      <c r="P7">
        <v>0.16200000000000001</v>
      </c>
      <c r="Q7">
        <v>76.081999999999994</v>
      </c>
      <c r="R7">
        <v>4</v>
      </c>
    </row>
    <row r="8" spans="1:18" x14ac:dyDescent="0.3">
      <c r="A8" t="s">
        <v>41</v>
      </c>
      <c r="B8" s="6">
        <v>227360</v>
      </c>
      <c r="C8" s="1">
        <v>41964</v>
      </c>
      <c r="D8">
        <v>55</v>
      </c>
      <c r="E8" t="s">
        <v>43</v>
      </c>
      <c r="F8" t="s">
        <v>44</v>
      </c>
      <c r="G8">
        <v>0.61599999999999999</v>
      </c>
      <c r="H8">
        <v>0.78900000000000003</v>
      </c>
      <c r="I8">
        <v>7</v>
      </c>
      <c r="J8">
        <v>-4.8739999999999997</v>
      </c>
      <c r="K8">
        <v>0</v>
      </c>
      <c r="L8">
        <v>3.7699999999999997E-2</v>
      </c>
      <c r="M8">
        <v>5.2999999999999999E-2</v>
      </c>
      <c r="N8">
        <v>0</v>
      </c>
      <c r="O8">
        <v>0.14199999999999999</v>
      </c>
      <c r="P8">
        <v>0.621</v>
      </c>
      <c r="Q8">
        <v>83.066000000000003</v>
      </c>
      <c r="R8">
        <v>4</v>
      </c>
    </row>
    <row r="9" spans="1:18" x14ac:dyDescent="0.3">
      <c r="A9" t="s">
        <v>45</v>
      </c>
      <c r="B9" s="6">
        <v>214720</v>
      </c>
      <c r="C9" s="1">
        <v>41432</v>
      </c>
      <c r="D9">
        <v>31</v>
      </c>
      <c r="E9" t="s">
        <v>47</v>
      </c>
      <c r="F9" t="s">
        <v>48</v>
      </c>
      <c r="G9">
        <v>0.49299999999999999</v>
      </c>
      <c r="H9">
        <v>0.879</v>
      </c>
      <c r="I9">
        <v>6</v>
      </c>
      <c r="J9">
        <v>-4.0289999999999999</v>
      </c>
      <c r="K9">
        <v>1</v>
      </c>
      <c r="L9">
        <v>3.2599999999999997E-2</v>
      </c>
      <c r="M9">
        <v>8.5199999999999998E-3</v>
      </c>
      <c r="N9">
        <v>0</v>
      </c>
      <c r="O9">
        <v>0.253</v>
      </c>
      <c r="P9">
        <v>0.63</v>
      </c>
      <c r="Q9">
        <v>177.93700000000001</v>
      </c>
      <c r="R9">
        <v>4</v>
      </c>
    </row>
    <row r="10" spans="1:18" x14ac:dyDescent="0.3">
      <c r="A10" t="s">
        <v>49</v>
      </c>
      <c r="B10" s="6">
        <v>252733</v>
      </c>
      <c r="C10" s="1">
        <v>41089</v>
      </c>
      <c r="D10">
        <v>0</v>
      </c>
      <c r="E10" t="s">
        <v>51</v>
      </c>
      <c r="F10" t="s">
        <v>52</v>
      </c>
      <c r="G10">
        <v>0.47899999999999998</v>
      </c>
      <c r="H10">
        <v>0.54500000000000004</v>
      </c>
      <c r="I10">
        <v>7</v>
      </c>
      <c r="J10">
        <v>-7.3460000000000001</v>
      </c>
      <c r="K10">
        <v>1</v>
      </c>
      <c r="L10">
        <v>6.88E-2</v>
      </c>
      <c r="M10">
        <v>0.36499999999999999</v>
      </c>
      <c r="N10">
        <v>0</v>
      </c>
      <c r="O10">
        <v>9.6299999999999997E-2</v>
      </c>
      <c r="P10">
        <v>0.24399999999999999</v>
      </c>
      <c r="Q10">
        <v>74.897000000000006</v>
      </c>
      <c r="R10">
        <v>4</v>
      </c>
    </row>
    <row r="11" spans="1:18" ht="15" thickBot="1" x14ac:dyDescent="0.35">
      <c r="A11" t="s">
        <v>53</v>
      </c>
      <c r="B11" s="6">
        <v>216626</v>
      </c>
      <c r="C11" s="1">
        <v>41775</v>
      </c>
      <c r="D11">
        <v>63</v>
      </c>
      <c r="E11" t="s">
        <v>55</v>
      </c>
      <c r="F11" t="s">
        <v>56</v>
      </c>
      <c r="G11">
        <v>0.495</v>
      </c>
      <c r="H11">
        <v>0.502</v>
      </c>
      <c r="I11">
        <v>5</v>
      </c>
      <c r="J11">
        <v>-9.3070000000000004</v>
      </c>
      <c r="K11">
        <v>1</v>
      </c>
      <c r="L11">
        <v>2.5899999999999999E-2</v>
      </c>
      <c r="M11">
        <v>1.2699999999999999E-2</v>
      </c>
      <c r="N11">
        <v>0.68899999999999995</v>
      </c>
      <c r="O11">
        <v>6.8000000000000005E-2</v>
      </c>
      <c r="P11">
        <v>3.9399999999999998E-2</v>
      </c>
      <c r="Q11">
        <v>97.546000000000006</v>
      </c>
      <c r="R11">
        <v>3</v>
      </c>
    </row>
    <row r="12" spans="1:18" ht="15" thickBot="1" x14ac:dyDescent="0.35">
      <c r="A12" s="4" t="s">
        <v>58</v>
      </c>
      <c r="B12" s="5">
        <f>SUM(B2:B11)</f>
        <v>2117249</v>
      </c>
      <c r="C12" s="1"/>
    </row>
    <row r="13" spans="1:18" x14ac:dyDescent="0.3">
      <c r="C13" s="1"/>
    </row>
    <row r="14" spans="1:18" x14ac:dyDescent="0.3">
      <c r="C14" s="1"/>
    </row>
    <row r="15" spans="1:18" x14ac:dyDescent="0.3">
      <c r="C15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1:3" x14ac:dyDescent="0.3">
      <c r="C65" s="1"/>
    </row>
    <row r="66" spans="1:3" x14ac:dyDescent="0.3">
      <c r="C66" s="1"/>
    </row>
    <row r="67" spans="1:3" x14ac:dyDescent="0.3">
      <c r="A67" s="2"/>
      <c r="C67" s="1"/>
    </row>
    <row r="68" spans="1:3" x14ac:dyDescent="0.3">
      <c r="C68" s="1"/>
    </row>
    <row r="69" spans="1:3" x14ac:dyDescent="0.3">
      <c r="C69" s="1"/>
    </row>
    <row r="71" spans="1:3" x14ac:dyDescent="0.3">
      <c r="C71" s="1"/>
    </row>
    <row r="72" spans="1:3" x14ac:dyDescent="0.3">
      <c r="C72" s="1"/>
    </row>
    <row r="73" spans="1:3" x14ac:dyDescent="0.3">
      <c r="C73" s="1"/>
    </row>
    <row r="74" spans="1:3" x14ac:dyDescent="0.3">
      <c r="C74" s="1"/>
    </row>
    <row r="75" spans="1:3" x14ac:dyDescent="0.3">
      <c r="C75" s="1"/>
    </row>
    <row r="76" spans="1:3" x14ac:dyDescent="0.3">
      <c r="C76" s="1"/>
    </row>
    <row r="77" spans="1:3" x14ac:dyDescent="0.3">
      <c r="C77" s="1"/>
    </row>
    <row r="78" spans="1:3" x14ac:dyDescent="0.3">
      <c r="C78" s="1"/>
    </row>
    <row r="79" spans="1:3" x14ac:dyDescent="0.3">
      <c r="C79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  <row r="233" spans="3:3" x14ac:dyDescent="0.3">
      <c r="C233" s="1"/>
    </row>
    <row r="234" spans="3:3" x14ac:dyDescent="0.3">
      <c r="C234" s="1"/>
    </row>
    <row r="235" spans="3:3" x14ac:dyDescent="0.3">
      <c r="C235" s="1"/>
    </row>
    <row r="236" spans="3:3" x14ac:dyDescent="0.3">
      <c r="C236" s="1"/>
    </row>
    <row r="237" spans="3:3" x14ac:dyDescent="0.3">
      <c r="C237" s="1"/>
    </row>
    <row r="238" spans="3:3" x14ac:dyDescent="0.3">
      <c r="C238" s="1"/>
    </row>
    <row r="239" spans="3:3" x14ac:dyDescent="0.3">
      <c r="C239" s="1"/>
    </row>
    <row r="240" spans="3:3" x14ac:dyDescent="0.3">
      <c r="C240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4" spans="3:3" x14ac:dyDescent="0.3">
      <c r="C244" s="1"/>
    </row>
    <row r="245" spans="3:3" x14ac:dyDescent="0.3">
      <c r="C245" s="1"/>
    </row>
    <row r="246" spans="3:3" x14ac:dyDescent="0.3">
      <c r="C246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51" spans="3:3" x14ac:dyDescent="0.3">
      <c r="C251" s="1"/>
    </row>
    <row r="252" spans="3:3" x14ac:dyDescent="0.3">
      <c r="C252" s="1"/>
    </row>
    <row r="253" spans="3:3" x14ac:dyDescent="0.3">
      <c r="C253" s="1"/>
    </row>
    <row r="254" spans="3:3" x14ac:dyDescent="0.3">
      <c r="C254" s="1"/>
    </row>
    <row r="255" spans="3:3" x14ac:dyDescent="0.3">
      <c r="C255" s="1"/>
    </row>
    <row r="256" spans="3:3" x14ac:dyDescent="0.3">
      <c r="C256" s="1"/>
    </row>
    <row r="257" spans="3:3" x14ac:dyDescent="0.3">
      <c r="C257" s="1"/>
    </row>
    <row r="258" spans="3:3" x14ac:dyDescent="0.3">
      <c r="C258" s="1"/>
    </row>
    <row r="259" spans="3:3" x14ac:dyDescent="0.3">
      <c r="C259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3" spans="3:3" x14ac:dyDescent="0.3">
      <c r="C263" s="1"/>
    </row>
    <row r="264" spans="3:3" x14ac:dyDescent="0.3">
      <c r="C264" s="1"/>
    </row>
    <row r="265" spans="3:3" x14ac:dyDescent="0.3">
      <c r="C265" s="1"/>
    </row>
    <row r="266" spans="3:3" x14ac:dyDescent="0.3">
      <c r="C26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Q1" sqref="Q1"/>
    </sheetView>
  </sheetViews>
  <sheetFormatPr defaultRowHeight="14.4" x14ac:dyDescent="0.3"/>
  <cols>
    <col min="1" max="1" width="29.109375" customWidth="1"/>
    <col min="2" max="2" width="15.33203125" bestFit="1" customWidth="1"/>
    <col min="3" max="3" width="13.88671875" bestFit="1" customWidth="1"/>
    <col min="4" max="4" width="14.77734375" bestFit="1" customWidth="1"/>
    <col min="5" max="5" width="43.6640625" customWidth="1"/>
    <col min="6" max="6" width="30.6640625" customWidth="1"/>
    <col min="7" max="7" width="13.44140625" customWidth="1"/>
    <col min="8" max="8" width="14.5546875" customWidth="1"/>
    <col min="9" max="9" width="9" bestFit="1" customWidth="1"/>
    <col min="10" max="11" width="11.109375" bestFit="1" customWidth="1"/>
    <col min="12" max="12" width="13.6640625" customWidth="1"/>
    <col min="13" max="13" width="14" bestFit="1" customWidth="1"/>
    <col min="14" max="15" width="17.77734375" bestFit="1" customWidth="1"/>
    <col min="16" max="16" width="11.44140625" customWidth="1"/>
    <col min="17" max="17" width="10.77734375" customWidth="1"/>
    <col min="18" max="19" width="15.88671875" bestFit="1" customWidth="1"/>
  </cols>
  <sheetData>
    <row r="1" spans="1:19" x14ac:dyDescent="0.3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</row>
    <row r="2" spans="1:19" x14ac:dyDescent="0.3">
      <c r="A2" t="s">
        <v>19</v>
      </c>
      <c r="B2">
        <v>203106</v>
      </c>
      <c r="C2" s="1">
        <v>42328</v>
      </c>
      <c r="D2">
        <v>55</v>
      </c>
      <c r="E2" t="s">
        <v>20</v>
      </c>
      <c r="F2" t="s">
        <v>21</v>
      </c>
      <c r="G2">
        <v>0.59099999999999997</v>
      </c>
      <c r="H2">
        <v>0.61099999999999999</v>
      </c>
      <c r="I2">
        <v>0</v>
      </c>
      <c r="J2">
        <v>-5.8840000000000003</v>
      </c>
      <c r="K2">
        <v>0</v>
      </c>
      <c r="L2">
        <v>4.5400000000000003E-2</v>
      </c>
      <c r="M2">
        <v>1.5299999999999999E-2</v>
      </c>
      <c r="N2">
        <v>0</v>
      </c>
      <c r="O2">
        <v>7.5700000000000003E-2</v>
      </c>
      <c r="P2">
        <v>0.12</v>
      </c>
      <c r="Q2">
        <v>76.003</v>
      </c>
      <c r="R2">
        <v>4</v>
      </c>
    </row>
    <row r="3" spans="1:19" x14ac:dyDescent="0.3">
      <c r="A3" t="s">
        <v>23</v>
      </c>
      <c r="B3">
        <v>223405</v>
      </c>
      <c r="C3" s="1">
        <v>41926</v>
      </c>
      <c r="D3">
        <v>39</v>
      </c>
      <c r="E3" t="s">
        <v>24</v>
      </c>
      <c r="F3" t="s">
        <v>25</v>
      </c>
      <c r="G3">
        <v>0.78900000000000003</v>
      </c>
      <c r="H3">
        <v>0.55500000000000005</v>
      </c>
      <c r="I3">
        <v>0</v>
      </c>
      <c r="J3">
        <v>-5.9</v>
      </c>
      <c r="K3">
        <v>1</v>
      </c>
      <c r="L3">
        <v>4.1000000000000002E-2</v>
      </c>
      <c r="M3">
        <v>2.5999999999999999E-2</v>
      </c>
      <c r="N3">
        <v>1.35E-4</v>
      </c>
      <c r="O3">
        <v>0.215</v>
      </c>
      <c r="P3">
        <v>0.71299999999999997</v>
      </c>
      <c r="Q3">
        <v>93.228999999999999</v>
      </c>
      <c r="R3">
        <v>4</v>
      </c>
    </row>
    <row r="4" spans="1:19" x14ac:dyDescent="0.3">
      <c r="A4" t="s">
        <v>27</v>
      </c>
      <c r="B4">
        <v>195700</v>
      </c>
      <c r="C4" s="1">
        <v>45225</v>
      </c>
      <c r="D4">
        <v>63</v>
      </c>
      <c r="E4" t="s">
        <v>28</v>
      </c>
      <c r="F4" t="s">
        <v>27</v>
      </c>
      <c r="G4">
        <v>0.57199999999999995</v>
      </c>
      <c r="H4">
        <v>0.80700000000000005</v>
      </c>
      <c r="I4">
        <v>0</v>
      </c>
      <c r="J4">
        <v>-5.3479999999999999</v>
      </c>
      <c r="K4">
        <v>1</v>
      </c>
      <c r="L4">
        <v>5.74E-2</v>
      </c>
      <c r="M4">
        <v>8.4599999999999995E-2</v>
      </c>
      <c r="N4">
        <v>0</v>
      </c>
      <c r="O4">
        <v>7.0999999999999994E-2</v>
      </c>
      <c r="P4">
        <v>0.626</v>
      </c>
      <c r="Q4">
        <v>160.01499999999999</v>
      </c>
      <c r="R4">
        <v>4</v>
      </c>
    </row>
    <row r="5" spans="1:19" x14ac:dyDescent="0.3">
      <c r="A5" t="s">
        <v>30</v>
      </c>
      <c r="B5">
        <v>184546</v>
      </c>
      <c r="C5" s="1">
        <v>40399</v>
      </c>
      <c r="D5">
        <v>19</v>
      </c>
      <c r="E5" t="s">
        <v>31</v>
      </c>
      <c r="F5" t="s">
        <v>32</v>
      </c>
      <c r="G5">
        <v>0.68799999999999994</v>
      </c>
      <c r="H5">
        <v>0.61599999999999999</v>
      </c>
      <c r="I5">
        <v>1</v>
      </c>
      <c r="J5">
        <v>-7.3339999999999996</v>
      </c>
      <c r="K5">
        <v>1</v>
      </c>
      <c r="L5">
        <v>4.5100000000000001E-2</v>
      </c>
      <c r="M5">
        <v>1.38E-2</v>
      </c>
      <c r="N5">
        <v>4.6099999999999998E-4</v>
      </c>
      <c r="O5">
        <v>0.121</v>
      </c>
      <c r="P5">
        <v>0.20499999999999999</v>
      </c>
      <c r="Q5">
        <v>87.043000000000006</v>
      </c>
      <c r="R5">
        <v>4</v>
      </c>
    </row>
    <row r="6" spans="1:19" x14ac:dyDescent="0.3">
      <c r="A6" t="s">
        <v>34</v>
      </c>
      <c r="B6">
        <v>172760</v>
      </c>
      <c r="C6" s="1">
        <v>45534</v>
      </c>
      <c r="D6">
        <v>38</v>
      </c>
      <c r="E6" t="s">
        <v>35</v>
      </c>
      <c r="F6" t="s">
        <v>36</v>
      </c>
      <c r="G6">
        <v>0.51500000000000001</v>
      </c>
      <c r="H6">
        <v>0.41</v>
      </c>
      <c r="I6">
        <v>0</v>
      </c>
      <c r="J6">
        <v>-7.1210000000000004</v>
      </c>
      <c r="K6">
        <v>1</v>
      </c>
      <c r="L6">
        <v>4.1099999999999998E-2</v>
      </c>
      <c r="M6">
        <v>0.55500000000000005</v>
      </c>
      <c r="N6">
        <v>4.0800000000000002E-5</v>
      </c>
      <c r="O6">
        <v>0.10299999999999999</v>
      </c>
      <c r="P6">
        <v>0.246</v>
      </c>
      <c r="Q6">
        <v>84.837000000000003</v>
      </c>
      <c r="R6">
        <v>4</v>
      </c>
    </row>
    <row r="7" spans="1:19" x14ac:dyDescent="0.3">
      <c r="A7" t="s">
        <v>38</v>
      </c>
      <c r="B7">
        <v>226293</v>
      </c>
      <c r="C7" s="1">
        <v>41897</v>
      </c>
      <c r="D7">
        <v>34</v>
      </c>
      <c r="E7" t="s">
        <v>39</v>
      </c>
      <c r="F7" t="s">
        <v>40</v>
      </c>
      <c r="G7">
        <v>0.48099999999999998</v>
      </c>
      <c r="H7">
        <v>0.52400000000000002</v>
      </c>
      <c r="I7">
        <v>7</v>
      </c>
      <c r="J7">
        <v>-7.0350000000000001</v>
      </c>
      <c r="K7">
        <v>1</v>
      </c>
      <c r="L7">
        <v>3.0200000000000001E-2</v>
      </c>
      <c r="M7">
        <v>3.15E-2</v>
      </c>
      <c r="N7">
        <v>1.08E-6</v>
      </c>
      <c r="O7">
        <v>0.23499999999999999</v>
      </c>
      <c r="P7">
        <v>0.16200000000000001</v>
      </c>
      <c r="Q7">
        <v>76.081999999999994</v>
      </c>
      <c r="R7">
        <v>4</v>
      </c>
    </row>
    <row r="8" spans="1:19" x14ac:dyDescent="0.3">
      <c r="A8" t="s">
        <v>42</v>
      </c>
      <c r="B8">
        <v>227360</v>
      </c>
      <c r="C8" s="1">
        <v>41964</v>
      </c>
      <c r="D8">
        <v>55</v>
      </c>
      <c r="E8" t="s">
        <v>43</v>
      </c>
      <c r="F8" t="s">
        <v>44</v>
      </c>
      <c r="G8">
        <v>0.61599999999999999</v>
      </c>
      <c r="H8">
        <v>0.78900000000000003</v>
      </c>
      <c r="I8">
        <v>7</v>
      </c>
      <c r="J8">
        <v>-4.8739999999999997</v>
      </c>
      <c r="K8">
        <v>0</v>
      </c>
      <c r="L8">
        <v>3.7699999999999997E-2</v>
      </c>
      <c r="M8">
        <v>5.2999999999999999E-2</v>
      </c>
      <c r="N8">
        <v>0</v>
      </c>
      <c r="O8">
        <v>0.14199999999999999</v>
      </c>
      <c r="P8">
        <v>0.621</v>
      </c>
      <c r="Q8">
        <v>83.066000000000003</v>
      </c>
      <c r="R8">
        <v>4</v>
      </c>
    </row>
    <row r="9" spans="1:19" x14ac:dyDescent="0.3">
      <c r="A9" t="s">
        <v>46</v>
      </c>
      <c r="B9">
        <v>214720</v>
      </c>
      <c r="C9" s="1">
        <v>41432</v>
      </c>
      <c r="D9">
        <v>31</v>
      </c>
      <c r="E9" t="s">
        <v>47</v>
      </c>
      <c r="F9" t="s">
        <v>48</v>
      </c>
      <c r="G9">
        <v>0.49299999999999999</v>
      </c>
      <c r="H9">
        <v>0.879</v>
      </c>
      <c r="I9">
        <v>6</v>
      </c>
      <c r="J9">
        <v>-4.0289999999999999</v>
      </c>
      <c r="K9">
        <v>1</v>
      </c>
      <c r="L9">
        <v>3.2599999999999997E-2</v>
      </c>
      <c r="M9">
        <v>8.5199999999999998E-3</v>
      </c>
      <c r="N9">
        <v>0</v>
      </c>
      <c r="O9">
        <v>0.253</v>
      </c>
      <c r="P9">
        <v>0.63</v>
      </c>
      <c r="Q9">
        <v>177.93700000000001</v>
      </c>
      <c r="R9">
        <v>4</v>
      </c>
    </row>
    <row r="10" spans="1:19" x14ac:dyDescent="0.3">
      <c r="A10" t="s">
        <v>50</v>
      </c>
      <c r="B10">
        <v>252733</v>
      </c>
      <c r="C10" s="1">
        <v>41089</v>
      </c>
      <c r="D10">
        <v>0</v>
      </c>
      <c r="E10" t="s">
        <v>51</v>
      </c>
      <c r="F10" t="s">
        <v>52</v>
      </c>
      <c r="G10">
        <v>0.47899999999999998</v>
      </c>
      <c r="H10">
        <v>0.54500000000000004</v>
      </c>
      <c r="I10">
        <v>7</v>
      </c>
      <c r="J10">
        <v>-7.3460000000000001</v>
      </c>
      <c r="K10">
        <v>1</v>
      </c>
      <c r="L10">
        <v>6.88E-2</v>
      </c>
      <c r="M10">
        <v>0.36499999999999999</v>
      </c>
      <c r="N10">
        <v>0</v>
      </c>
      <c r="O10">
        <v>9.6299999999999997E-2</v>
      </c>
      <c r="P10">
        <v>0.24399999999999999</v>
      </c>
      <c r="Q10">
        <v>74.897000000000006</v>
      </c>
      <c r="R10">
        <v>4</v>
      </c>
    </row>
    <row r="11" spans="1:19" x14ac:dyDescent="0.3">
      <c r="A11" t="s">
        <v>54</v>
      </c>
      <c r="B11">
        <v>216626</v>
      </c>
      <c r="C11" s="1">
        <v>41775</v>
      </c>
      <c r="D11">
        <v>63</v>
      </c>
      <c r="E11" t="s">
        <v>55</v>
      </c>
      <c r="F11" t="s">
        <v>56</v>
      </c>
      <c r="G11">
        <v>0.495</v>
      </c>
      <c r="H11">
        <v>0.502</v>
      </c>
      <c r="I11">
        <v>5</v>
      </c>
      <c r="J11">
        <v>-9.3070000000000004</v>
      </c>
      <c r="K11">
        <v>1</v>
      </c>
      <c r="L11">
        <v>2.5899999999999999E-2</v>
      </c>
      <c r="M11">
        <v>1.2699999999999999E-2</v>
      </c>
      <c r="N11">
        <v>0.68899999999999995</v>
      </c>
      <c r="O11">
        <v>6.8000000000000005E-2</v>
      </c>
      <c r="P11">
        <v>3.9399999999999998E-2</v>
      </c>
      <c r="Q11">
        <v>97.546000000000006</v>
      </c>
      <c r="R1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Songs</vt:lpstr>
      <vt:lpstr>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Leo Polackal</cp:lastModifiedBy>
  <dcterms:created xsi:type="dcterms:W3CDTF">2026-06-17T13:04:15Z</dcterms:created>
  <dcterms:modified xsi:type="dcterms:W3CDTF">2026-06-30T11:56:53Z</dcterms:modified>
</cp:coreProperties>
</file>