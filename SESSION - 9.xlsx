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DATA ANALYTICS ASSIGNMENT/"/>
    </mc:Choice>
  </mc:AlternateContent>
  <xr:revisionPtr revIDLastSave="15" documentId="8_{A2FCE1B3-24E0-4B97-B709-2158BFF49690}" xr6:coauthVersionLast="47" xr6:coauthVersionMax="47" xr10:uidLastSave="{E6897CBD-B23F-434C-ADCA-6F138619BB75}"/>
  <bookViews>
    <workbookView xWindow="-108" yWindow="-108" windowWidth="23256" windowHeight="12456" xr2:uid="{A4B92310-DAD3-4D0F-AB0E-338D5E6933A0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C14" i="4"/>
  <c r="F3" i="3"/>
  <c r="C6" i="2"/>
</calcChain>
</file>

<file path=xl/sharedStrings.xml><?xml version="1.0" encoding="utf-8"?>
<sst xmlns="http://schemas.openxmlformats.org/spreadsheetml/2006/main" count="73" uniqueCount="53">
  <si>
    <t>Product Name</t>
  </si>
  <si>
    <t>Price (INR)</t>
  </si>
  <si>
    <t>Apple iPhone 15 (128GB)</t>
  </si>
  <si>
    <t>Samsung Galaxy S24 (256GB)</t>
  </si>
  <si>
    <t>Sony WH-1000XM5 Headphones</t>
  </si>
  <si>
    <t>M1 Apple MacBook Air</t>
  </si>
  <si>
    <t>HP Laptop 15s</t>
  </si>
  <si>
    <t>Mi Smart TV 4A 32</t>
  </si>
  <si>
    <t>boAt Airdopes 131</t>
  </si>
  <si>
    <t>Canon EOS 200D II</t>
  </si>
  <si>
    <t>Philips Beard Trimmer</t>
  </si>
  <si>
    <t>OnePlus Nord CE4</t>
  </si>
  <si>
    <t>Price(INR)</t>
  </si>
  <si>
    <t>Rating</t>
  </si>
  <si>
    <t>Peri Peri Chicken</t>
  </si>
  <si>
    <t>Dish Name</t>
  </si>
  <si>
    <t>Nutella Waffles</t>
  </si>
  <si>
    <t>Matcha Latte</t>
  </si>
  <si>
    <t>Classic Cheeseburger</t>
  </si>
  <si>
    <t>Paneer Tikka</t>
  </si>
  <si>
    <t>Truffle Fries</t>
  </si>
  <si>
    <t>Spicy Avocado Toast</t>
  </si>
  <si>
    <t>Butter Chicken</t>
  </si>
  <si>
    <t>555-0122</t>
  </si>
  <si>
    <t>@lisa_landscapes</t>
  </si>
  <si>
    <t>555-0188</t>
  </si>
  <si>
    <t>@kodys_kitchen</t>
  </si>
  <si>
    <t>555-0100</t>
  </si>
  <si>
    <t>@jess_journeys</t>
  </si>
  <si>
    <t>555-0155</t>
  </si>
  <si>
    <t>@inked_ian</t>
  </si>
  <si>
    <t>555-0111</t>
  </si>
  <si>
    <t>@hiking_hannah</t>
  </si>
  <si>
    <t>555-0133</t>
  </si>
  <si>
    <t>@gaming_gabe</t>
  </si>
  <si>
    <t>555-0174</t>
  </si>
  <si>
    <t>@fitness_fiona</t>
  </si>
  <si>
    <t>555-0165</t>
  </si>
  <si>
    <t>@eco_ethan</t>
  </si>
  <si>
    <t>555-0121</t>
  </si>
  <si>
    <t>@danielle_designs</t>
  </si>
  <si>
    <t>555-0199</t>
  </si>
  <si>
    <t>@chef_clara</t>
  </si>
  <si>
    <t>mobile number</t>
  </si>
  <si>
    <t>555-0182</t>
  </si>
  <si>
    <t>@baking_with_ben</t>
  </si>
  <si>
    <t>"@danika"</t>
  </si>
  <si>
    <t>username not in this list</t>
  </si>
  <si>
    <t>555-0143</t>
  </si>
  <si>
    <t>@alex_adventures</t>
  </si>
  <si>
    <t>Mobile Number</t>
  </si>
  <si>
    <t>Instagram Username</t>
  </si>
  <si>
    <t>Discount(%)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</si>
</sst>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₹-4009]\ #,##0"/>
    <numFmt numFmtId="166" formatCode="_(&quot;$&quot;* #,##0_);_(&quot;$&quot;* \(#,##0\);_(&quot;$&quot;* &quot;-&quot;??_);_(@_)"/>
    <numFmt numFmtId="171" formatCode="&quot;$&quot;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2" borderId="1" xfId="0" applyFill="1" applyBorder="1"/>
    <xf numFmtId="0" fontId="4" fillId="3" borderId="1" xfId="0" applyFont="1" applyFill="1" applyBorder="1"/>
    <xf numFmtId="0" fontId="5" fillId="4" borderId="1" xfId="0" applyFont="1" applyFill="1" applyBorder="1" applyAlignment="1">
      <alignment horizontal="left" vertical="center" wrapText="1" indent="1" readingOrder="1"/>
    </xf>
    <xf numFmtId="0" fontId="5" fillId="2" borderId="1" xfId="0" applyFont="1" applyFill="1" applyBorder="1" applyAlignment="1">
      <alignment horizontal="left" vertical="center" wrapText="1" indent="1" readingOrder="1"/>
    </xf>
    <xf numFmtId="0" fontId="6" fillId="3" borderId="1" xfId="0" applyFont="1" applyFill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5" borderId="1" xfId="0" applyFont="1" applyFill="1" applyBorder="1" applyAlignment="1">
      <alignment horizontal="left" vertical="center" wrapText="1" indent="1" readingOrder="1"/>
    </xf>
    <xf numFmtId="164" fontId="3" fillId="5" borderId="1" xfId="0" applyNumberFormat="1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horizontal="right" wrapText="1"/>
    </xf>
    <xf numFmtId="9" fontId="0" fillId="0" borderId="1" xfId="0" applyNumberFormat="1" applyBorder="1"/>
    <xf numFmtId="9" fontId="1" fillId="5" borderId="1" xfId="0" applyNumberFormat="1" applyFont="1" applyFill="1" applyBorder="1"/>
    <xf numFmtId="166" fontId="2" fillId="0" borderId="1" xfId="1" applyNumberFormat="1" applyFont="1" applyBorder="1" applyAlignment="1">
      <alignment horizontal="right" wrapText="1"/>
    </xf>
    <xf numFmtId="171" fontId="0" fillId="2" borderId="1" xfId="0" applyNumberForma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1</xdr:row>
      <xdr:rowOff>182880</xdr:rowOff>
    </xdr:from>
    <xdr:to>
      <xdr:col>7</xdr:col>
      <xdr:colOff>160020</xdr:colOff>
      <xdr:row>3</xdr:row>
      <xdr:rowOff>45720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E44FDACE-C50F-4F39-A36C-AB71A5089F49}"/>
            </a:ext>
          </a:extLst>
        </xdr:cNvPr>
        <xdr:cNvSpPr/>
      </xdr:nvSpPr>
      <xdr:spPr>
        <a:xfrm>
          <a:off x="3726180" y="365760"/>
          <a:ext cx="701040" cy="228600"/>
        </a:xfrm>
        <a:prstGeom prst="rightArrow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320040</xdr:colOff>
      <xdr:row>0</xdr:row>
      <xdr:rowOff>68580</xdr:rowOff>
    </xdr:from>
    <xdr:to>
      <xdr:col>14</xdr:col>
      <xdr:colOff>556260</xdr:colOff>
      <xdr:row>29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55DAAD-510D-4E39-A2EC-64762931891E}"/>
            </a:ext>
          </a:extLst>
        </xdr:cNvPr>
        <xdr:cNvSpPr txBox="1"/>
      </xdr:nvSpPr>
      <xdr:spPr>
        <a:xfrm>
          <a:off x="4587240" y="68580"/>
          <a:ext cx="4503420" cy="537972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Here when keeping an VLOOKUP</a:t>
          </a:r>
          <a:r>
            <a:rPr lang="en-US" sz="1100" baseline="0"/>
            <a:t> with </a:t>
          </a:r>
          <a:r>
            <a:rPr lang="en-US" sz="1100" b="1" baseline="0"/>
            <a:t>Approximate value </a:t>
          </a:r>
          <a:r>
            <a:rPr lang="en-US" sz="1100" b="0" baseline="0"/>
            <a:t>this is what happened:</a:t>
          </a:r>
        </a:p>
        <a:p>
          <a:r>
            <a:rPr lang="en-US" sz="1100" b="1" baseline="0"/>
            <a:t>Step-1 : </a:t>
          </a:r>
          <a:r>
            <a:rPr lang="en-US" b="1"/>
            <a:t>The Alphabetical lineup</a:t>
          </a:r>
        </a:p>
        <a:p>
          <a:r>
            <a:rPr lang="en-US"/>
            <a:t>Because the list is sorted alphabetically, Excel looks at the entries around the letter "D" like this: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@chef_clara</a:t>
          </a:r>
          <a:r>
            <a:rPr lang="en-US"/>
            <a:t> (Starts with </a:t>
          </a:r>
          <a:r>
            <a:rPr lang="en-US" b="1"/>
            <a:t>C</a:t>
          </a:r>
          <a:r>
            <a:rPr lang="en-US"/>
            <a:t>)</a:t>
          </a:r>
        </a:p>
        <a:p>
          <a:r>
            <a:rPr lang="en-US" sz="1100" i="1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 i="1"/>
            <a:t> (The name we are searching for would fit right here)</a:t>
          </a:r>
          <a:endParaRPr lang="en-US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@danielle_designs</a:t>
          </a:r>
          <a:r>
            <a:rPr lang="en-US"/>
            <a:t> (Starts with </a:t>
          </a:r>
          <a:r>
            <a:rPr lang="en-US" b="1"/>
            <a:t>Dani-e</a:t>
          </a:r>
          <a:r>
            <a:rPr lang="en-US"/>
            <a:t>)</a:t>
          </a:r>
          <a:endParaRPr lang="en-US" b="1"/>
        </a:p>
        <a:p>
          <a:r>
            <a:rPr lang="en-US" b="1"/>
            <a:t>Step-2 : The Character-by-Character Comparison</a:t>
          </a:r>
        </a:p>
        <a:p>
          <a:r>
            <a:rPr lang="en-US"/>
            <a:t>Excel compares your search term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) against the next available "D" name in the list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@danielle_designs</a:t>
          </a:r>
          <a:r>
            <a:rPr lang="en-US"/>
            <a:t>) by looking at them side-by-side, letter by letter: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 d a n i **k** a</a:t>
          </a:r>
          <a:endParaRPr lang="en-US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 d a n i **e** l l e _ d e s i g n s</a:t>
          </a:r>
        </a:p>
        <a:p>
          <a:r>
            <a:rPr lang="en-US"/>
            <a:t>At the 6th character, Excel compares </a:t>
          </a:r>
          <a:r>
            <a:rPr lang="en-US" b="1"/>
            <a:t>k</a:t>
          </a:r>
          <a:r>
            <a:rPr lang="en-US"/>
            <a:t> against </a:t>
          </a:r>
          <a:r>
            <a:rPr lang="en-US" b="1"/>
            <a:t>e</a:t>
          </a:r>
          <a:r>
            <a:rPr lang="en-US"/>
            <a:t>. Since </a:t>
          </a:r>
          <a:r>
            <a:rPr lang="en-US" b="1"/>
            <a:t>e</a:t>
          </a:r>
          <a:r>
            <a:rPr lang="en-US"/>
            <a:t> comes </a:t>
          </a:r>
          <a:r>
            <a:rPr lang="en-US" i="1"/>
            <a:t>before</a:t>
          </a:r>
          <a:r>
            <a:rPr lang="en-US"/>
            <a:t> </a:t>
          </a:r>
          <a:r>
            <a:rPr lang="en-US" b="1"/>
            <a:t>k</a:t>
          </a:r>
          <a:r>
            <a:rPr lang="en-US"/>
            <a:t> in the alphabet, the word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@danielle_designs</a:t>
          </a:r>
          <a:r>
            <a:rPr lang="en-US"/>
            <a:t> is actually alphabetically </a:t>
          </a:r>
          <a:r>
            <a:rPr lang="en-US" i="1"/>
            <a:t>smaller</a:t>
          </a:r>
          <a:r>
            <a:rPr lang="en-US"/>
            <a:t> (less) than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.</a:t>
          </a:r>
        </a:p>
        <a:p>
          <a:r>
            <a:rPr lang="en-US"/>
            <a:t>Let's look at the next entry in the list: 4.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@eco_ethan</a:t>
          </a:r>
          <a:r>
            <a:rPr lang="en-US"/>
            <a:t> (Starts with </a:t>
          </a:r>
          <a:r>
            <a:rPr lang="en-US" b="1"/>
            <a:t>E</a:t>
          </a:r>
          <a:r>
            <a:rPr lang="en-US"/>
            <a:t>)</a:t>
          </a:r>
        </a:p>
        <a:p>
          <a:r>
            <a:rPr lang="en-US"/>
            <a:t>When Excel compares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@eco_ethan</a:t>
          </a:r>
          <a:r>
            <a:rPr lang="en-US"/>
            <a:t>, </a:t>
          </a:r>
          <a:r>
            <a:rPr lang="en-US" b="1"/>
            <a:t>E</a:t>
          </a:r>
          <a:r>
            <a:rPr lang="en-US"/>
            <a:t> comes </a:t>
          </a:r>
          <a:r>
            <a:rPr lang="en-US" i="1"/>
            <a:t>after</a:t>
          </a:r>
          <a:r>
            <a:rPr lang="en-US"/>
            <a:t> </a:t>
          </a:r>
          <a:r>
            <a:rPr lang="en-US" b="1"/>
            <a:t>D</a:t>
          </a:r>
          <a:r>
            <a:rPr lang="en-US"/>
            <a:t>. This means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@eco_ethan</a:t>
          </a:r>
          <a:r>
            <a:rPr lang="en-US"/>
            <a:t> is alphabetically </a:t>
          </a:r>
          <a:r>
            <a:rPr lang="en-US" i="1"/>
            <a:t>greater</a:t>
          </a:r>
          <a:r>
            <a:rPr lang="en-US"/>
            <a:t> than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.</a:t>
          </a:r>
        </a:p>
        <a:p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b="1"/>
            <a:t>Step 3: The "Oops, I Went Too Far" Moment</a:t>
          </a:r>
        </a:p>
        <a:p>
          <a:r>
            <a:rPr lang="en-US"/>
            <a:t>When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range_lookup</a:t>
          </a:r>
          <a:r>
            <a:rPr lang="en-US"/>
            <a:t> is set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TRUE</a:t>
          </a:r>
          <a:r>
            <a:rPr lang="en-US"/>
            <a:t>, Excel's rule is: </a:t>
          </a:r>
          <a:r>
            <a:rPr lang="en-US" b="1"/>
            <a:t>Keep moving down the list until you hit something that is strictly greater than the search term, then stop and look at the row immediately above it.</a:t>
          </a:r>
          <a:endParaRPr lang="en-US"/>
        </a:p>
        <a:p>
          <a:r>
            <a:rPr lang="en-US"/>
            <a:t>Excel looks at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@danielle_designs</a:t>
          </a:r>
          <a:r>
            <a:rPr lang="en-US"/>
            <a:t>. It is </a:t>
          </a:r>
          <a:r>
            <a:rPr lang="en-US" i="1"/>
            <a:t>less</a:t>
          </a:r>
          <a:r>
            <a:rPr lang="en-US"/>
            <a:t> than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. (Keep going).</a:t>
          </a:r>
        </a:p>
        <a:p>
          <a:r>
            <a:rPr lang="en-US"/>
            <a:t>Excel steps down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@eco_ethan</a:t>
          </a:r>
          <a:r>
            <a:rPr lang="en-US"/>
            <a:t>. It is </a:t>
          </a:r>
          <a:r>
            <a:rPr lang="en-US" i="1"/>
            <a:t>greater</a:t>
          </a:r>
          <a:r>
            <a:rPr lang="en-US"/>
            <a:t> than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@danika</a:t>
          </a:r>
          <a:r>
            <a:rPr lang="en-US"/>
            <a:t>. </a:t>
          </a:r>
          <a:r>
            <a:rPr lang="en-US" b="1"/>
            <a:t>(STOP!)</a:t>
          </a:r>
          <a:endParaRPr lang="en-US"/>
        </a:p>
        <a:p>
          <a:r>
            <a:rPr lang="en-US"/>
            <a:t>Excel realizes it just overshot its target. It takes exactly one step backward to the previous row.</a:t>
          </a:r>
        </a:p>
        <a:p>
          <a:r>
            <a:rPr lang="en-US"/>
            <a:t>The row right above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@eco_ethan</a:t>
          </a:r>
          <a:r>
            <a:rPr lang="en-US"/>
            <a:t> is 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@danielle_designs</a:t>
          </a:r>
          <a:r>
            <a:rPr lang="en-US"/>
            <a:t>.</a:t>
          </a:r>
        </a:p>
        <a:p>
          <a:endParaRPr lang="en-US" b="1"/>
        </a:p>
        <a:p>
          <a:endParaRPr lang="en-US" b="1"/>
        </a:p>
        <a:p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12</xdr:row>
      <xdr:rowOff>167640</xdr:rowOff>
    </xdr:from>
    <xdr:to>
      <xdr:col>4</xdr:col>
      <xdr:colOff>548640</xdr:colOff>
      <xdr:row>14</xdr:row>
      <xdr:rowOff>7620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4334855-67A6-4686-A3C1-44B1CD91C51E}"/>
            </a:ext>
          </a:extLst>
        </xdr:cNvPr>
        <xdr:cNvSpPr/>
      </xdr:nvSpPr>
      <xdr:spPr>
        <a:xfrm>
          <a:off x="1889760" y="2362200"/>
          <a:ext cx="1097280" cy="205740"/>
        </a:xfrm>
        <a:prstGeom prst="rightArrow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11</xdr:row>
      <xdr:rowOff>144780</xdr:rowOff>
    </xdr:from>
    <xdr:to>
      <xdr:col>11</xdr:col>
      <xdr:colOff>441960</xdr:colOff>
      <xdr:row>22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7C15F0-762D-4662-BDA5-450D8058B54E}"/>
            </a:ext>
          </a:extLst>
        </xdr:cNvPr>
        <xdr:cNvSpPr txBox="1"/>
      </xdr:nvSpPr>
      <xdr:spPr>
        <a:xfrm>
          <a:off x="3124200" y="2156460"/>
          <a:ext cx="4023360" cy="197358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The Leftmost Rule:</a:t>
          </a:r>
          <a:r>
            <a:rPr lang="en-US"/>
            <a:t> By passing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A2:C11</a:t>
          </a:r>
          <a:r>
            <a:rPr lang="en-US"/>
            <a:t> as the range, you told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VLOOKUP</a:t>
          </a:r>
          <a:r>
            <a:rPr lang="en-US"/>
            <a:t> that Column A (Discount) is the starting line.</a:t>
          </a:r>
        </a:p>
        <a:p>
          <a:endParaRPr lang="en-US"/>
        </a:p>
        <a:p>
          <a:r>
            <a:rPr lang="en-US" b="1"/>
            <a:t>The Blindspot:</a:t>
          </a:r>
          <a:r>
            <a:rPr lang="en-US"/>
            <a:t>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VLOOKUP</a:t>
          </a:r>
          <a:r>
            <a:rPr lang="en-US"/>
            <a:t> completely ignores Columns B and C during the search phase. It scans down Column A looking for the text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"Mechanical Keyboard"</a:t>
          </a:r>
          <a:r>
            <a:rPr lang="en-US"/>
            <a:t>.</a:t>
          </a:r>
        </a:p>
        <a:p>
          <a:endParaRPr lang="en-US"/>
        </a:p>
        <a:p>
          <a:r>
            <a:rPr lang="en-US" b="1"/>
            <a:t>The Failure:</a:t>
          </a:r>
          <a:r>
            <a:rPr lang="en-US"/>
            <a:t> Because Column A only contains percentages (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15%</a:t>
          </a:r>
          <a:r>
            <a:rPr lang="en-US"/>
            <a:t>,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10%</a:t>
          </a:r>
          <a:r>
            <a:rPr lang="en-US"/>
            <a:t>,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15%</a:t>
          </a:r>
          <a:r>
            <a:rPr lang="en-US"/>
            <a:t>), it never finds a match, assumes the data doesn't exist, and fails.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FCB2-439F-4598-A13C-99018E4E7E1B}">
  <dimension ref="A1:G14"/>
  <sheetViews>
    <sheetView tabSelected="1" workbookViewId="0">
      <selection activeCell="G1" sqref="G1"/>
    </sheetView>
  </sheetViews>
  <sheetFormatPr defaultRowHeight="14.4" x14ac:dyDescent="0.3"/>
  <cols>
    <col min="1" max="1" width="31.44140625" customWidth="1"/>
    <col min="2" max="2" width="22.5546875" customWidth="1"/>
    <col min="6" max="6" width="12.5546875" bestFit="1" customWidth="1"/>
    <col min="7" max="7" width="32" customWidth="1"/>
  </cols>
  <sheetData>
    <row r="1" spans="1:7" ht="14.4" customHeight="1" x14ac:dyDescent="0.3">
      <c r="A1" s="2" t="s">
        <v>0</v>
      </c>
      <c r="B1" s="2" t="s">
        <v>1</v>
      </c>
      <c r="F1" s="4" t="s">
        <v>0</v>
      </c>
      <c r="G1" s="3" t="s">
        <v>2</v>
      </c>
    </row>
    <row r="2" spans="1:7" x14ac:dyDescent="0.3">
      <c r="A2" s="3" t="s">
        <v>2</v>
      </c>
      <c r="B2" s="17">
        <v>65999</v>
      </c>
      <c r="F2" s="4" t="s">
        <v>12</v>
      </c>
      <c r="G2" s="18">
        <f>VLOOKUP(G1,A2:B11,2,0)</f>
        <v>65999</v>
      </c>
    </row>
    <row r="3" spans="1:7" x14ac:dyDescent="0.3">
      <c r="A3" s="3" t="s">
        <v>3</v>
      </c>
      <c r="B3" s="17">
        <v>74999</v>
      </c>
    </row>
    <row r="4" spans="1:7" x14ac:dyDescent="0.3">
      <c r="A4" s="3" t="s">
        <v>4</v>
      </c>
      <c r="B4" s="17">
        <v>29999</v>
      </c>
    </row>
    <row r="5" spans="1:7" x14ac:dyDescent="0.3">
      <c r="A5" s="3" t="s">
        <v>5</v>
      </c>
      <c r="B5" s="17">
        <v>72999</v>
      </c>
    </row>
    <row r="6" spans="1:7" x14ac:dyDescent="0.3">
      <c r="A6" s="3" t="s">
        <v>6</v>
      </c>
      <c r="B6" s="17">
        <v>38999</v>
      </c>
    </row>
    <row r="7" spans="1:7" x14ac:dyDescent="0.3">
      <c r="A7" s="3" t="s">
        <v>7</v>
      </c>
      <c r="B7" s="17">
        <v>12999</v>
      </c>
    </row>
    <row r="8" spans="1:7" x14ac:dyDescent="0.3">
      <c r="A8" s="3" t="s">
        <v>8</v>
      </c>
      <c r="B8" s="17">
        <v>999</v>
      </c>
    </row>
    <row r="9" spans="1:7" x14ac:dyDescent="0.3">
      <c r="A9" s="3" t="s">
        <v>9</v>
      </c>
      <c r="B9" s="17">
        <v>56999</v>
      </c>
    </row>
    <row r="10" spans="1:7" x14ac:dyDescent="0.3">
      <c r="A10" s="3" t="s">
        <v>10</v>
      </c>
      <c r="B10" s="17">
        <v>1299</v>
      </c>
    </row>
    <row r="11" spans="1:7" x14ac:dyDescent="0.3">
      <c r="A11" s="3" t="s">
        <v>11</v>
      </c>
      <c r="B11" s="17">
        <v>24999</v>
      </c>
    </row>
    <row r="14" spans="1:7" x14ac:dyDescent="0.3">
      <c r="F14" s="1"/>
    </row>
  </sheetData>
  <dataValidations count="1">
    <dataValidation type="list" allowBlank="1" showInputMessage="1" showErrorMessage="1" sqref="G1" xr:uid="{D48361BF-BD7C-4C86-99CC-4BFE45962003}">
      <formula1>$A$2:$A$10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ACDA-0D09-4238-B55F-227E1A891D7E}">
  <dimension ref="B2:J6"/>
  <sheetViews>
    <sheetView workbookViewId="0">
      <selection activeCell="D23" sqref="D23"/>
    </sheetView>
  </sheetViews>
  <sheetFormatPr defaultRowHeight="14.4" x14ac:dyDescent="0.3"/>
  <cols>
    <col min="2" max="2" width="12.5546875" bestFit="1" customWidth="1"/>
    <col min="3" max="3" width="30" customWidth="1"/>
    <col min="4" max="4" width="21" bestFit="1" customWidth="1"/>
    <col min="5" max="5" width="12.77734375" bestFit="1" customWidth="1"/>
    <col min="6" max="6" width="14" bestFit="1" customWidth="1"/>
    <col min="7" max="7" width="17.6640625" bestFit="1" customWidth="1"/>
    <col min="8" max="8" width="22" bestFit="1" customWidth="1"/>
    <col min="9" max="9" width="13.6640625" bestFit="1" customWidth="1"/>
    <col min="10" max="10" width="15.5546875" bestFit="1" customWidth="1"/>
  </cols>
  <sheetData>
    <row r="2" spans="2:10" ht="14.4" customHeight="1" x14ac:dyDescent="0.3">
      <c r="B2" s="9" t="s">
        <v>15</v>
      </c>
      <c r="C2" s="7" t="s">
        <v>22</v>
      </c>
      <c r="D2" s="7" t="s">
        <v>21</v>
      </c>
      <c r="E2" s="7" t="s">
        <v>20</v>
      </c>
      <c r="F2" s="7" t="s">
        <v>19</v>
      </c>
      <c r="G2" s="7" t="s">
        <v>14</v>
      </c>
      <c r="H2" s="7" t="s">
        <v>18</v>
      </c>
      <c r="I2" s="7" t="s">
        <v>17</v>
      </c>
      <c r="J2" s="7" t="s">
        <v>16</v>
      </c>
    </row>
    <row r="3" spans="2:10" x14ac:dyDescent="0.3">
      <c r="B3" s="9" t="s">
        <v>13</v>
      </c>
      <c r="C3" s="8">
        <v>4.8</v>
      </c>
      <c r="D3" s="8">
        <v>4.5</v>
      </c>
      <c r="E3" s="8">
        <v>4.2</v>
      </c>
      <c r="F3" s="8">
        <v>4.5999999999999996</v>
      </c>
      <c r="G3" s="8">
        <v>4.7</v>
      </c>
      <c r="H3" s="8">
        <v>4.4000000000000004</v>
      </c>
      <c r="I3" s="8">
        <v>4.0999999999999996</v>
      </c>
      <c r="J3" s="8">
        <v>4.9000000000000004</v>
      </c>
    </row>
    <row r="5" spans="2:10" ht="14.4" customHeight="1" x14ac:dyDescent="0.3">
      <c r="B5" s="6" t="s">
        <v>15</v>
      </c>
      <c r="C5" s="7" t="s">
        <v>14</v>
      </c>
    </row>
    <row r="6" spans="2:10" x14ac:dyDescent="0.3">
      <c r="B6" s="6" t="s">
        <v>13</v>
      </c>
      <c r="C6" s="5">
        <f>HLOOKUP(C5,C2:J3,2,0)</f>
        <v>4.7</v>
      </c>
    </row>
  </sheetData>
  <dataValidations count="1">
    <dataValidation type="list" allowBlank="1" showInputMessage="1" showErrorMessage="1" sqref="C5" xr:uid="{E34A8A52-026B-4810-94BE-2EFD8A96453E}">
      <formula1>$C$2:$J$2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AC1C-8606-4975-8BBF-0E9783389F4F}">
  <dimension ref="A1:F13"/>
  <sheetViews>
    <sheetView topLeftCell="A4" workbookViewId="0">
      <selection activeCell="F29" sqref="F29"/>
    </sheetView>
  </sheetViews>
  <sheetFormatPr defaultRowHeight="14.4" x14ac:dyDescent="0.3"/>
  <cols>
    <col min="1" max="1" width="23.33203125" customWidth="1"/>
    <col min="2" max="2" width="22.33203125" customWidth="1"/>
    <col min="5" max="5" width="21.44140625" customWidth="1"/>
    <col min="6" max="6" width="18.77734375" bestFit="1" customWidth="1"/>
  </cols>
  <sheetData>
    <row r="1" spans="1:6" ht="21.6" customHeight="1" x14ac:dyDescent="0.3">
      <c r="A1" s="11" t="s">
        <v>51</v>
      </c>
      <c r="B1" s="11" t="s">
        <v>50</v>
      </c>
    </row>
    <row r="2" spans="1:6" ht="16.2" customHeight="1" x14ac:dyDescent="0.3">
      <c r="A2" s="10" t="s">
        <v>49</v>
      </c>
      <c r="B2" s="10" t="s">
        <v>48</v>
      </c>
      <c r="E2" s="4" t="s">
        <v>47</v>
      </c>
      <c r="F2" s="10" t="s">
        <v>46</v>
      </c>
    </row>
    <row r="3" spans="1:6" ht="15" customHeight="1" x14ac:dyDescent="0.3">
      <c r="A3" s="10" t="s">
        <v>45</v>
      </c>
      <c r="B3" s="10" t="s">
        <v>44</v>
      </c>
      <c r="E3" s="4" t="s">
        <v>43</v>
      </c>
      <c r="F3" s="5" t="str">
        <f>VLOOKUP("@danika",A2:B13,2,1)</f>
        <v>555-0121</v>
      </c>
    </row>
    <row r="4" spans="1:6" ht="17.399999999999999" customHeight="1" x14ac:dyDescent="0.3">
      <c r="A4" s="10" t="s">
        <v>42</v>
      </c>
      <c r="B4" s="10" t="s">
        <v>41</v>
      </c>
    </row>
    <row r="5" spans="1:6" ht="15" customHeight="1" x14ac:dyDescent="0.3">
      <c r="A5" s="10" t="s">
        <v>40</v>
      </c>
      <c r="B5" s="10" t="s">
        <v>39</v>
      </c>
    </row>
    <row r="6" spans="1:6" ht="13.8" customHeight="1" x14ac:dyDescent="0.3">
      <c r="A6" s="10" t="s">
        <v>38</v>
      </c>
      <c r="B6" s="10" t="s">
        <v>37</v>
      </c>
    </row>
    <row r="7" spans="1:6" ht="16.2" customHeight="1" x14ac:dyDescent="0.3">
      <c r="A7" s="10" t="s">
        <v>36</v>
      </c>
      <c r="B7" s="10" t="s">
        <v>35</v>
      </c>
    </row>
    <row r="8" spans="1:6" ht="16.2" customHeight="1" x14ac:dyDescent="0.3">
      <c r="A8" s="10" t="s">
        <v>34</v>
      </c>
      <c r="B8" s="10" t="s">
        <v>33</v>
      </c>
    </row>
    <row r="9" spans="1:6" ht="16.2" customHeight="1" x14ac:dyDescent="0.3">
      <c r="A9" s="10" t="s">
        <v>32</v>
      </c>
      <c r="B9" s="10" t="s">
        <v>31</v>
      </c>
    </row>
    <row r="10" spans="1:6" ht="16.8" customHeight="1" x14ac:dyDescent="0.3">
      <c r="A10" s="10" t="s">
        <v>30</v>
      </c>
      <c r="B10" s="10" t="s">
        <v>29</v>
      </c>
    </row>
    <row r="11" spans="1:6" ht="16.8" customHeight="1" x14ac:dyDescent="0.3">
      <c r="A11" s="10" t="s">
        <v>28</v>
      </c>
      <c r="B11" s="10" t="s">
        <v>27</v>
      </c>
    </row>
    <row r="12" spans="1:6" ht="21" customHeight="1" x14ac:dyDescent="0.3">
      <c r="A12" s="10" t="s">
        <v>26</v>
      </c>
      <c r="B12" s="10" t="s">
        <v>25</v>
      </c>
    </row>
    <row r="13" spans="1:6" ht="17.399999999999999" customHeight="1" x14ac:dyDescent="0.3">
      <c r="A13" s="10" t="s">
        <v>24</v>
      </c>
      <c r="B13" s="10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2E2B-008E-4A14-82B5-93CDC2B44AC6}">
  <dimension ref="A1:C14"/>
  <sheetViews>
    <sheetView workbookViewId="0">
      <selection activeCell="E7" sqref="E7"/>
    </sheetView>
  </sheetViews>
  <sheetFormatPr defaultRowHeight="14.4" x14ac:dyDescent="0.3"/>
  <cols>
    <col min="1" max="1" width="13.21875" bestFit="1" customWidth="1"/>
    <col min="2" max="2" width="33.77734375" customWidth="1"/>
    <col min="3" max="3" width="22.44140625" customWidth="1"/>
  </cols>
  <sheetData>
    <row r="1" spans="1:3" ht="13.2" customHeight="1" x14ac:dyDescent="0.3">
      <c r="A1" s="16" t="s">
        <v>52</v>
      </c>
      <c r="B1" s="13" t="s">
        <v>0</v>
      </c>
      <c r="C1" s="12" t="s">
        <v>1</v>
      </c>
    </row>
    <row r="2" spans="1:3" ht="14.4" customHeight="1" x14ac:dyDescent="0.3">
      <c r="A2" s="15">
        <v>0.15</v>
      </c>
      <c r="B2" s="3" t="s">
        <v>2</v>
      </c>
      <c r="C2" s="14">
        <v>65999</v>
      </c>
    </row>
    <row r="3" spans="1:3" ht="15.6" customHeight="1" x14ac:dyDescent="0.3">
      <c r="A3" s="15">
        <v>0.1</v>
      </c>
      <c r="B3" s="3" t="s">
        <v>3</v>
      </c>
      <c r="C3" s="14">
        <v>74999</v>
      </c>
    </row>
    <row r="4" spans="1:3" ht="15" customHeight="1" x14ac:dyDescent="0.3">
      <c r="A4" s="15">
        <v>0.15</v>
      </c>
      <c r="B4" s="3" t="s">
        <v>4</v>
      </c>
      <c r="C4" s="14">
        <v>29999</v>
      </c>
    </row>
    <row r="5" spans="1:3" ht="16.2" customHeight="1" x14ac:dyDescent="0.3">
      <c r="A5" s="15">
        <v>0.2</v>
      </c>
      <c r="B5" s="3" t="s">
        <v>5</v>
      </c>
      <c r="C5" s="14">
        <v>72999</v>
      </c>
    </row>
    <row r="6" spans="1:3" ht="16.2" customHeight="1" x14ac:dyDescent="0.3">
      <c r="A6" s="15">
        <v>0.1</v>
      </c>
      <c r="B6" s="3" t="s">
        <v>6</v>
      </c>
      <c r="C6" s="14">
        <v>38999</v>
      </c>
    </row>
    <row r="7" spans="1:3" ht="16.2" customHeight="1" x14ac:dyDescent="0.3">
      <c r="A7" s="15">
        <v>0.1</v>
      </c>
      <c r="B7" s="3" t="s">
        <v>7</v>
      </c>
      <c r="C7" s="14">
        <v>12999</v>
      </c>
    </row>
    <row r="8" spans="1:3" ht="18" customHeight="1" x14ac:dyDescent="0.3">
      <c r="A8" s="15">
        <v>0.2</v>
      </c>
      <c r="B8" s="3" t="s">
        <v>8</v>
      </c>
      <c r="C8" s="14">
        <v>999</v>
      </c>
    </row>
    <row r="9" spans="1:3" ht="18.600000000000001" customHeight="1" x14ac:dyDescent="0.3">
      <c r="A9" s="15">
        <v>0.2</v>
      </c>
      <c r="B9" s="3" t="s">
        <v>9</v>
      </c>
      <c r="C9" s="14">
        <v>56999</v>
      </c>
    </row>
    <row r="10" spans="1:3" ht="18" customHeight="1" x14ac:dyDescent="0.3">
      <c r="A10" s="15">
        <v>0.1</v>
      </c>
      <c r="B10" s="3" t="s">
        <v>10</v>
      </c>
      <c r="C10" s="14">
        <v>1299</v>
      </c>
    </row>
    <row r="11" spans="1:3" ht="18.600000000000001" customHeight="1" x14ac:dyDescent="0.3">
      <c r="A11" s="15">
        <v>0.15</v>
      </c>
      <c r="B11" s="3" t="s">
        <v>11</v>
      </c>
      <c r="C11" s="14">
        <v>24999</v>
      </c>
    </row>
    <row r="13" spans="1:3" ht="15" customHeight="1" x14ac:dyDescent="0.3">
      <c r="B13" s="13" t="s">
        <v>0</v>
      </c>
      <c r="C13" s="3" t="s">
        <v>2</v>
      </c>
    </row>
    <row r="14" spans="1:3" x14ac:dyDescent="0.3">
      <c r="B14" s="12" t="s">
        <v>1</v>
      </c>
      <c r="C14" s="5" t="e">
        <f>VLOOKUP(B2,A2:C11,3,0)</f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leopolackal123@outlook.com</dc:creator>
  <cp:lastModifiedBy>leopolackal123@outlook.com</cp:lastModifiedBy>
  <dcterms:created xsi:type="dcterms:W3CDTF">2026-07-17T16:30:28Z</dcterms:created>
  <dcterms:modified xsi:type="dcterms:W3CDTF">2026-07-19T20:21:37Z</dcterms:modified>
</cp:coreProperties>
</file>