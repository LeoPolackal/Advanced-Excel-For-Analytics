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eo.b.polackal\Desktop\"/>
    </mc:Choice>
  </mc:AlternateContent>
  <xr:revisionPtr revIDLastSave="0" documentId="8_{97755A80-3A64-4DA7-9D5C-6012E9BAAC07}" xr6:coauthVersionLast="47" xr6:coauthVersionMax="47" xr10:uidLastSave="{00000000-0000-0000-0000-000000000000}"/>
  <bookViews>
    <workbookView xWindow="-108" yWindow="-108" windowWidth="23256" windowHeight="12456" activeTab="5" xr2:uid="{5DD69648-8A04-4588-A97F-675A2BEF863E}"/>
  </bookViews>
  <sheets>
    <sheet name="Order Data" sheetId="1" r:id="rId1"/>
    <sheet name="Restaurant Details" sheetId="2" r:id="rId2"/>
    <sheet name="P-1" sheetId="5" r:id="rId3"/>
    <sheet name="P-2" sheetId="6" r:id="rId4"/>
    <sheet name="KPI" sheetId="8" r:id="rId5"/>
    <sheet name="DASHBOARD" sheetId="7" r:id="rId6"/>
  </sheets>
  <definedNames>
    <definedName name="Slicer_City">#N/A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I2" i="1" s="1"/>
  <c r="I3" i="1"/>
  <c r="I4" i="1"/>
  <c r="I5" i="1"/>
  <c r="I6" i="1"/>
  <c r="I7" i="1"/>
  <c r="I8" i="1"/>
  <c r="I9" i="1"/>
  <c r="I10" i="1"/>
  <c r="I11" i="1"/>
  <c r="L2" i="1"/>
  <c r="L3" i="1"/>
  <c r="L4" i="1"/>
  <c r="L5" i="1"/>
  <c r="L6" i="1"/>
  <c r="L7" i="1"/>
  <c r="L8" i="1"/>
  <c r="L9" i="1"/>
  <c r="L10" i="1"/>
  <c r="L11" i="1"/>
  <c r="H3" i="1"/>
  <c r="H4" i="1"/>
  <c r="H5" i="1"/>
  <c r="H6" i="1"/>
  <c r="H7" i="1"/>
  <c r="H8" i="1"/>
  <c r="H9" i="1"/>
  <c r="H10" i="1"/>
  <c r="H11" i="1"/>
</calcChain>
</file>

<file path=xl/sharedStrings.xml><?xml version="1.0" encoding="utf-8"?>
<sst xmlns="http://schemas.openxmlformats.org/spreadsheetml/2006/main" count="87" uniqueCount="53">
  <si>
    <t>Order ID</t>
  </si>
  <si>
    <t>Customer ID</t>
  </si>
  <si>
    <t>Restaurant ID</t>
  </si>
  <si>
    <t>Order Value</t>
  </si>
  <si>
    <t>Delivery Charge</t>
  </si>
  <si>
    <t>Delivery Time (mins)</t>
  </si>
  <si>
    <t>Delivery Date</t>
  </si>
  <si>
    <t>Delivery Partner</t>
  </si>
  <si>
    <t>City</t>
  </si>
  <si>
    <t>C8921</t>
  </si>
  <si>
    <t>R302</t>
  </si>
  <si>
    <t>Ramesh Kumar</t>
  </si>
  <si>
    <t>Surat</t>
  </si>
  <si>
    <t>C4312</t>
  </si>
  <si>
    <t>R305</t>
  </si>
  <si>
    <t>C5521</t>
  </si>
  <si>
    <t>R301</t>
  </si>
  <si>
    <t>Amit Patel</t>
  </si>
  <si>
    <t>Ahmedabad</t>
  </si>
  <si>
    <t>C1092</t>
  </si>
  <si>
    <t>R303</t>
  </si>
  <si>
    <t>Vikram Singh</t>
  </si>
  <si>
    <t>Mumbai</t>
  </si>
  <si>
    <t>C7743</t>
  </si>
  <si>
    <t>C3321</t>
  </si>
  <si>
    <t>R304</t>
  </si>
  <si>
    <t>13/07/2026</t>
  </si>
  <si>
    <t>Suresh Pal</t>
  </si>
  <si>
    <t>C9081</t>
  </si>
  <si>
    <t>C2241</t>
  </si>
  <si>
    <t>14-07-2026</t>
  </si>
  <si>
    <t>C6532</t>
  </si>
  <si>
    <t>C1120</t>
  </si>
  <si>
    <t>15/07/2026</t>
  </si>
  <si>
    <t>Restaurant Name</t>
  </si>
  <si>
    <t>Cuisine</t>
  </si>
  <si>
    <t>The Grand Thali</t>
  </si>
  <si>
    <t>Gujarati</t>
  </si>
  <si>
    <t>Spice Symphony</t>
  </si>
  <si>
    <t>North Indian</t>
  </si>
  <si>
    <t>Burger House</t>
  </si>
  <si>
    <t>Fast Food</t>
  </si>
  <si>
    <t>Cafe Coffee Day</t>
  </si>
  <si>
    <t>Beverages</t>
  </si>
  <si>
    <t>Barbeque Nation</t>
  </si>
  <si>
    <t>Buffet</t>
  </si>
  <si>
    <t>Unassigned</t>
  </si>
  <si>
    <t>Day of the week</t>
  </si>
  <si>
    <t>Delivery Date 1</t>
  </si>
  <si>
    <t>Grand Total</t>
  </si>
  <si>
    <t>Count of Order Value</t>
  </si>
  <si>
    <t>Total Delivery Charge</t>
  </si>
  <si>
    <t>Average of Delivery Time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</si>
</sst>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14" fontId="1" fillId="0" borderId="5" xfId="0" applyNumberFormat="1" applyFont="1" applyBorder="1" applyAlignment="1">
      <alignment horizontal="center"/>
    </xf>
    <xf numFmtId="0" fontId="1"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0" fillId="0" borderId="8" xfId="0" applyNumberFormat="1"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 fontId="0" fillId="0" borderId="0" xfId="0" applyNumberFormat="1"/>
  </cellXfs>
  <cellStyles count="1">
    <cellStyle name="Normal" xfId="0" builtinId="0"/>
  </cellStyles>
  <dxfs count="26">
    <dxf>
      <numFmt numFmtId="1" formatCode="0"/>
    </dxf>
    <dxf>
      <numFmt numFmtId="164" formatCode="[$₹-4009]\ #,##0"/>
    </dxf>
    <dxf>
      <numFmt numFmtId="164" formatCode="[$₹-4009]\ #,##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 - 21.xlsx]P-1!PivotTable1</c:name>
    <c:fmtId val="0"/>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666051713625527"/>
          <c:y val="0.16405667412378822"/>
          <c:w val="0.6372278178587597"/>
          <c:h val="0.74974545966989015"/>
        </c:manualLayout>
      </c:layout>
      <c:barChart>
        <c:barDir val="bar"/>
        <c:grouping val="clustered"/>
        <c:varyColors val="0"/>
        <c:ser>
          <c:idx val="0"/>
          <c:order val="0"/>
          <c:tx>
            <c:strRef>
              <c:f>'P-1'!$B$3</c:f>
              <c:strCache>
                <c:ptCount val="1"/>
                <c:pt idx="0">
                  <c:v>Count of Order Value</c:v>
                </c:pt>
              </c:strCache>
            </c:strRef>
          </c:tx>
          <c:spPr>
            <a:solidFill>
              <a:schemeClr val="accent1">
                <a:tint val="77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'P-1'!$A$4:$A$7</c:f>
              <c:strCache>
                <c:ptCount val="3"/>
                <c:pt idx="0">
                  <c:v>Ahmedabad</c:v>
                </c:pt>
                <c:pt idx="1">
                  <c:v>Mumbai</c:v>
                </c:pt>
                <c:pt idx="2">
                  <c:v>Surat</c:v>
                </c:pt>
              </c:strCache>
            </c:strRef>
          </c:cat>
          <c:val>
            <c:numRef>
              <c:f>'P-1'!$B$4:$B$7</c:f>
              <c:numCache>
                <c:formatCode>General</c:formatCode>
                <c:ptCount val="3"/>
                <c:pt idx="0">
                  <c:v>3</c:v>
                </c:pt>
                <c:pt idx="1">
                  <c:v>2</c:v>
                </c:pt>
                <c:pt idx="2">
                  <c:v>5</c:v>
                </c:pt>
              </c:numCache>
            </c:numRef>
          </c:val>
          <c:extLst>
            <c:ext xmlns:c16="http://schemas.microsoft.com/office/drawing/2014/chart" uri="{C3380CC4-5D6E-409C-BE32-E72D297353CC}">
              <c16:uniqueId val="{00000000-BBCA-48BC-A981-D5AEC82FEF6B}"/>
            </c:ext>
          </c:extLst>
        </c:ser>
        <c:ser>
          <c:idx val="1"/>
          <c:order val="1"/>
          <c:tx>
            <c:strRef>
              <c:f>'P-1'!$C$3</c:f>
              <c:strCache>
                <c:ptCount val="1"/>
                <c:pt idx="0">
                  <c:v>Total Delivery Charge</c:v>
                </c:pt>
              </c:strCache>
            </c:strRef>
          </c:tx>
          <c:spPr>
            <a:solidFill>
              <a:schemeClr val="accent1">
                <a:shade val="76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'P-1'!$A$4:$A$7</c:f>
              <c:strCache>
                <c:ptCount val="3"/>
                <c:pt idx="0">
                  <c:v>Ahmedabad</c:v>
                </c:pt>
                <c:pt idx="1">
                  <c:v>Mumbai</c:v>
                </c:pt>
                <c:pt idx="2">
                  <c:v>Surat</c:v>
                </c:pt>
              </c:strCache>
            </c:strRef>
          </c:cat>
          <c:val>
            <c:numRef>
              <c:f>'P-1'!$C$4:$C$7</c:f>
              <c:numCache>
                <c:formatCode>[$₹-4009]\ #,##0</c:formatCode>
                <c:ptCount val="3"/>
                <c:pt idx="0">
                  <c:v>60</c:v>
                </c:pt>
                <c:pt idx="1">
                  <c:v>80</c:v>
                </c:pt>
                <c:pt idx="2">
                  <c:v>115</c:v>
                </c:pt>
              </c:numCache>
            </c:numRef>
          </c:val>
          <c:extLst>
            <c:ext xmlns:c16="http://schemas.microsoft.com/office/drawing/2014/chart" uri="{C3380CC4-5D6E-409C-BE32-E72D297353CC}">
              <c16:uniqueId val="{00000001-BBCA-48BC-A981-D5AEC82FEF6B}"/>
            </c:ext>
          </c:extLst>
        </c:ser>
        <c:dLbls>
          <c:showLegendKey val="0"/>
          <c:showVal val="0"/>
          <c:showCatName val="0"/>
          <c:showSerName val="0"/>
          <c:showPercent val="0"/>
          <c:showBubbleSize val="0"/>
        </c:dLbls>
        <c:gapWidth val="182"/>
        <c:axId val="1517290896"/>
        <c:axId val="1517309136"/>
      </c:barChart>
      <c:catAx>
        <c:axId val="151729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7309136"/>
        <c:crosses val="autoZero"/>
        <c:auto val="1"/>
        <c:lblAlgn val="ctr"/>
        <c:lblOffset val="100"/>
        <c:noMultiLvlLbl val="0"/>
      </c:catAx>
      <c:valAx>
        <c:axId val="151730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729089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- 21.xlsx]P-2!PivotTable2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3 RESTAURANT ORDERS</a:t>
            </a:r>
            <a:endParaRPr lang="en-US" b="1">
              <a:solidFill>
                <a:schemeClr val="tx1"/>
              </a:solidFill>
            </a:endParaRPr>
          </a:p>
        </c:rich>
      </c:tx>
      <c:layout>
        <c:manualLayout>
          <c:xMode val="edge"/>
          <c:yMode val="edge"/>
          <c:x val="3.352777777777776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'P-2'!$B$3</c:f>
              <c:strCache>
                <c:ptCount val="1"/>
                <c:pt idx="0">
                  <c:v>Total</c:v>
                </c:pt>
              </c:strCache>
            </c:strRef>
          </c:tx>
          <c:spPr>
            <a:solidFill>
              <a:schemeClr val="accent1"/>
            </a:solidFill>
            <a:ln>
              <a:noFill/>
            </a:ln>
            <a:effectLst/>
          </c:spPr>
          <c:invertIfNegative val="0"/>
          <c:cat>
            <c:strRef>
              <c:f>'P-2'!$A$4:$A$6</c:f>
              <c:strCache>
                <c:ptCount val="3"/>
                <c:pt idx="0">
                  <c:v>Barbeque Nation</c:v>
                </c:pt>
                <c:pt idx="1">
                  <c:v>Spice Symphony</c:v>
                </c:pt>
                <c:pt idx="2">
                  <c:v>The Grand Thali</c:v>
                </c:pt>
              </c:strCache>
            </c:strRef>
          </c:cat>
          <c:val>
            <c:numRef>
              <c:f>'P-2'!$B$4:$B$6</c:f>
              <c:numCache>
                <c:formatCode>General</c:formatCode>
                <c:ptCount val="3"/>
                <c:pt idx="0">
                  <c:v>2</c:v>
                </c:pt>
                <c:pt idx="1">
                  <c:v>2</c:v>
                </c:pt>
                <c:pt idx="2">
                  <c:v>3</c:v>
                </c:pt>
              </c:numCache>
            </c:numRef>
          </c:val>
          <c:extLst>
            <c:ext xmlns:c16="http://schemas.microsoft.com/office/drawing/2014/chart" uri="{C3380CC4-5D6E-409C-BE32-E72D297353CC}">
              <c16:uniqueId val="{00000002-7B37-4ED3-8A21-CEB0AEE03F83}"/>
            </c:ext>
          </c:extLst>
        </c:ser>
        <c:dLbls>
          <c:showLegendKey val="0"/>
          <c:showVal val="0"/>
          <c:showCatName val="0"/>
          <c:showSerName val="0"/>
          <c:showPercent val="0"/>
          <c:showBubbleSize val="0"/>
        </c:dLbls>
        <c:gapWidth val="182"/>
        <c:axId val="590420752"/>
        <c:axId val="590424592"/>
      </c:barChart>
      <c:catAx>
        <c:axId val="59042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4592"/>
        <c:crosses val="autoZero"/>
        <c:auto val="1"/>
        <c:lblAlgn val="ctr"/>
        <c:lblOffset val="100"/>
        <c:noMultiLvlLbl val="0"/>
      </c:catAx>
      <c:valAx>
        <c:axId val="59042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[SESSION - 21.xlsx]P-1!PivotTable1</c:name>
    <c:fmtId val="8"/>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666051713625527"/>
          <c:y val="0.16405667412378822"/>
          <c:w val="0.6372278178587597"/>
          <c:h val="0.74974545966989015"/>
        </c:manualLayout>
      </c:layout>
      <c:barChart>
        <c:barDir val="bar"/>
        <c:grouping val="clustered"/>
        <c:varyColors val="0"/>
        <c:ser>
          <c:idx val="0"/>
          <c:order val="0"/>
          <c:tx>
            <c:strRef>
              <c:f>'P-1'!$B$3</c:f>
              <c:strCache>
                <c:ptCount val="1"/>
                <c:pt idx="0">
                  <c:v>Count of Order Value</c:v>
                </c:pt>
              </c:strCache>
            </c:strRef>
          </c:tx>
          <c:spPr>
            <a:solidFill>
              <a:schemeClr val="accent1">
                <a:tint val="77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'P-1'!$A$4:$A$7</c:f>
              <c:strCache>
                <c:ptCount val="3"/>
                <c:pt idx="0">
                  <c:v>Ahmedabad</c:v>
                </c:pt>
                <c:pt idx="1">
                  <c:v>Mumbai</c:v>
                </c:pt>
                <c:pt idx="2">
                  <c:v>Surat</c:v>
                </c:pt>
              </c:strCache>
            </c:strRef>
          </c:cat>
          <c:val>
            <c:numRef>
              <c:f>'P-1'!$B$4:$B$7</c:f>
              <c:numCache>
                <c:formatCode>General</c:formatCode>
                <c:ptCount val="3"/>
                <c:pt idx="0">
                  <c:v>3</c:v>
                </c:pt>
                <c:pt idx="1">
                  <c:v>2</c:v>
                </c:pt>
                <c:pt idx="2">
                  <c:v>5</c:v>
                </c:pt>
              </c:numCache>
            </c:numRef>
          </c:val>
          <c:extLst>
            <c:ext xmlns:c16="http://schemas.microsoft.com/office/drawing/2014/chart" uri="{C3380CC4-5D6E-409C-BE32-E72D297353CC}">
              <c16:uniqueId val="{00000000-E4B1-4D68-A9BF-15BF9950A9E8}"/>
            </c:ext>
          </c:extLst>
        </c:ser>
        <c:ser>
          <c:idx val="1"/>
          <c:order val="1"/>
          <c:tx>
            <c:strRef>
              <c:f>'P-1'!$C$3</c:f>
              <c:strCache>
                <c:ptCount val="1"/>
                <c:pt idx="0">
                  <c:v>Total Delivery Charge</c:v>
                </c:pt>
              </c:strCache>
            </c:strRef>
          </c:tx>
          <c:spPr>
            <a:solidFill>
              <a:schemeClr val="accent1">
                <a:shade val="76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'P-1'!$A$4:$A$7</c:f>
              <c:strCache>
                <c:ptCount val="3"/>
                <c:pt idx="0">
                  <c:v>Ahmedabad</c:v>
                </c:pt>
                <c:pt idx="1">
                  <c:v>Mumbai</c:v>
                </c:pt>
                <c:pt idx="2">
                  <c:v>Surat</c:v>
                </c:pt>
              </c:strCache>
            </c:strRef>
          </c:cat>
          <c:val>
            <c:numRef>
              <c:f>'P-1'!$C$4:$C$7</c:f>
              <c:numCache>
                <c:formatCode>[$₹-4009]\ #,##0</c:formatCode>
                <c:ptCount val="3"/>
                <c:pt idx="0">
                  <c:v>60</c:v>
                </c:pt>
                <c:pt idx="1">
                  <c:v>80</c:v>
                </c:pt>
                <c:pt idx="2">
                  <c:v>115</c:v>
                </c:pt>
              </c:numCache>
            </c:numRef>
          </c:val>
          <c:extLst>
            <c:ext xmlns:c16="http://schemas.microsoft.com/office/drawing/2014/chart" uri="{C3380CC4-5D6E-409C-BE32-E72D297353CC}">
              <c16:uniqueId val="{00000001-E4B1-4D68-A9BF-15BF9950A9E8}"/>
            </c:ext>
          </c:extLst>
        </c:ser>
        <c:dLbls>
          <c:showLegendKey val="0"/>
          <c:showVal val="0"/>
          <c:showCatName val="0"/>
          <c:showSerName val="0"/>
          <c:showPercent val="0"/>
          <c:showBubbleSize val="0"/>
        </c:dLbls>
        <c:gapWidth val="182"/>
        <c:axId val="1517290896"/>
        <c:axId val="1517309136"/>
      </c:barChart>
      <c:catAx>
        <c:axId val="151729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7309136"/>
        <c:crosses val="autoZero"/>
        <c:auto val="1"/>
        <c:lblAlgn val="ctr"/>
        <c:lblOffset val="100"/>
        <c:noMultiLvlLbl val="0"/>
      </c:catAx>
      <c:valAx>
        <c:axId val="151730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7290896"/>
        <c:crosses val="autoZero"/>
        <c:crossBetween val="between"/>
      </c:valAx>
      <c:spPr>
        <a:noFill/>
        <a:ln>
          <a:noFill/>
        </a:ln>
        <a:effectLst/>
      </c:spPr>
    </c:plotArea>
    <c:legend>
      <c:legendPos val="l"/>
      <c:layout>
        <c:manualLayout>
          <c:xMode val="edge"/>
          <c:yMode val="edge"/>
          <c:x val="1.6611295681063124E-2"/>
          <c:y val="0.28066902194410454"/>
          <c:w val="0.11314254322860806"/>
          <c:h val="0.458212298242778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- 21.xlsx]P-2!PivotTable2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3 Restaurant Orders</a:t>
            </a:r>
            <a:endParaRPr lang="en-US" b="1">
              <a:solidFill>
                <a:schemeClr val="tx1"/>
              </a:solidFill>
            </a:endParaRPr>
          </a:p>
        </c:rich>
      </c:tx>
      <c:layout>
        <c:manualLayout>
          <c:xMode val="edge"/>
          <c:yMode val="edge"/>
          <c:x val="3.352777777777776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'P-2'!$B$3</c:f>
              <c:strCache>
                <c:ptCount val="1"/>
                <c:pt idx="0">
                  <c:v>Total</c:v>
                </c:pt>
              </c:strCache>
            </c:strRef>
          </c:tx>
          <c:spPr>
            <a:solidFill>
              <a:schemeClr val="accent1"/>
            </a:solidFill>
            <a:ln>
              <a:noFill/>
            </a:ln>
            <a:effectLst/>
          </c:spPr>
          <c:invertIfNegative val="0"/>
          <c:cat>
            <c:strRef>
              <c:f>'P-2'!$A$4:$A$6</c:f>
              <c:strCache>
                <c:ptCount val="3"/>
                <c:pt idx="0">
                  <c:v>Barbeque Nation</c:v>
                </c:pt>
                <c:pt idx="1">
                  <c:v>Spice Symphony</c:v>
                </c:pt>
                <c:pt idx="2">
                  <c:v>The Grand Thali</c:v>
                </c:pt>
              </c:strCache>
            </c:strRef>
          </c:cat>
          <c:val>
            <c:numRef>
              <c:f>'P-2'!$B$4:$B$6</c:f>
              <c:numCache>
                <c:formatCode>General</c:formatCode>
                <c:ptCount val="3"/>
                <c:pt idx="0">
                  <c:v>2</c:v>
                </c:pt>
                <c:pt idx="1">
                  <c:v>2</c:v>
                </c:pt>
                <c:pt idx="2">
                  <c:v>3</c:v>
                </c:pt>
              </c:numCache>
            </c:numRef>
          </c:val>
          <c:extLst>
            <c:ext xmlns:c16="http://schemas.microsoft.com/office/drawing/2014/chart" uri="{C3380CC4-5D6E-409C-BE32-E72D297353CC}">
              <c16:uniqueId val="{00000001-69F4-4562-9491-F7DE3A3E8416}"/>
            </c:ext>
          </c:extLst>
        </c:ser>
        <c:dLbls>
          <c:showLegendKey val="0"/>
          <c:showVal val="0"/>
          <c:showCatName val="0"/>
          <c:showSerName val="0"/>
          <c:showPercent val="0"/>
          <c:showBubbleSize val="0"/>
        </c:dLbls>
        <c:gapWidth val="182"/>
        <c:axId val="590420752"/>
        <c:axId val="590424592"/>
      </c:barChart>
      <c:catAx>
        <c:axId val="59042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4592"/>
        <c:crosses val="autoZero"/>
        <c:auto val="1"/>
        <c:lblAlgn val="ctr"/>
        <c:lblOffset val="100"/>
        <c:noMultiLvlLbl val="0"/>
      </c:catAx>
      <c:valAx>
        <c:axId val="59042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609600</xdr:colOff>
      <xdr:row>7</xdr:row>
      <xdr:rowOff>129540</xdr:rowOff>
    </xdr:from>
    <xdr:to>
      <xdr:col>12</xdr:col>
      <xdr:colOff>457200</xdr:colOff>
      <xdr:row>25</xdr:row>
      <xdr:rowOff>160020</xdr:rowOff>
    </xdr:to>
    <xdr:graphicFrame macro="">
      <xdr:nvGraphicFramePr>
        <xdr:cNvPr id="2" name="Chart 1">
          <a:extLst>
            <a:ext uri="{FF2B5EF4-FFF2-40B4-BE49-F238E27FC236}">
              <a16:creationId xmlns:a16="http://schemas.microsoft.com/office/drawing/2014/main" id="{5993D889-7355-B221-8357-532950939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419100</xdr:colOff>
      <xdr:row>8</xdr:row>
      <xdr:rowOff>167640</xdr:rowOff>
    </xdr:from>
    <xdr:to>
      <xdr:col>16</xdr:col>
      <xdr:colOff>419100</xdr:colOff>
      <xdr:row>23</xdr:row>
      <xdr:rowOff>5715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7C400A1-3763-B6B6-82BF-939046C1305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761220" y="1630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0.01861</cdr:y>
    </cdr:from>
    <cdr:to>
      <cdr:x>0.46859</cdr:x>
      <cdr:y>0.09172</cdr:y>
    </cdr:to>
    <cdr:sp macro="" textlink="">
      <cdr:nvSpPr>
        <cdr:cNvPr id="2" name="TextBox 1">
          <a:extLst xmlns:a="http://schemas.openxmlformats.org/drawingml/2006/main">
            <a:ext uri="{FF2B5EF4-FFF2-40B4-BE49-F238E27FC236}">
              <a16:creationId xmlns:a16="http://schemas.microsoft.com/office/drawing/2014/main" id="{8E0CD799-682A-297F-9A9E-6C6861534872}"/>
            </a:ext>
          </a:extLst>
        </cdr:cNvPr>
        <cdr:cNvSpPr txBox="1"/>
      </cdr:nvSpPr>
      <cdr:spPr>
        <a:xfrm xmlns:a="http://schemas.openxmlformats.org/drawingml/2006/main">
          <a:off x="0" y="63373"/>
          <a:ext cx="3581400" cy="2490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solidFill>
                <a:schemeClr val="tx1"/>
              </a:solidFill>
            </a:rPr>
            <a:t>City-wise Total</a:t>
          </a:r>
          <a:r>
            <a:rPr lang="en-US" sz="1400" b="1" kern="1200" baseline="0">
              <a:solidFill>
                <a:schemeClr val="tx1"/>
              </a:solidFill>
            </a:rPr>
            <a:t> Delivery Charge &amp; No of orders</a:t>
          </a:r>
          <a:r>
            <a:rPr lang="en-US" sz="1400" b="1" kern="1200">
              <a:solidFill>
                <a:schemeClr val="tx1"/>
              </a:solidFill>
            </a:rPr>
            <a:t> </a:t>
          </a: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800100</xdr:colOff>
      <xdr:row>6</xdr:row>
      <xdr:rowOff>45720</xdr:rowOff>
    </xdr:from>
    <xdr:to>
      <xdr:col>9</xdr:col>
      <xdr:colOff>441960</xdr:colOff>
      <xdr:row>21</xdr:row>
      <xdr:rowOff>45720</xdr:rowOff>
    </xdr:to>
    <xdr:graphicFrame macro="">
      <xdr:nvGraphicFramePr>
        <xdr:cNvPr id="3" name="Chart 2">
          <a:extLst>
            <a:ext uri="{FF2B5EF4-FFF2-40B4-BE49-F238E27FC236}">
              <a16:creationId xmlns:a16="http://schemas.microsoft.com/office/drawing/2014/main" id="{E10B370A-7A18-59C2-76AD-9FADAC89E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0</xdr:row>
      <xdr:rowOff>60960</xdr:rowOff>
    </xdr:from>
    <xdr:to>
      <xdr:col>7</xdr:col>
      <xdr:colOff>259080</xdr:colOff>
      <xdr:row>2</xdr:row>
      <xdr:rowOff>83820</xdr:rowOff>
    </xdr:to>
    <xdr:sp macro="" textlink="">
      <xdr:nvSpPr>
        <xdr:cNvPr id="2" name="Rectangle 1">
          <a:extLst>
            <a:ext uri="{FF2B5EF4-FFF2-40B4-BE49-F238E27FC236}">
              <a16:creationId xmlns:a16="http://schemas.microsoft.com/office/drawing/2014/main" id="{5C9DA293-98C5-CD68-B604-50E2ED314059}"/>
            </a:ext>
          </a:extLst>
        </xdr:cNvPr>
        <xdr:cNvSpPr/>
      </xdr:nvSpPr>
      <xdr:spPr>
        <a:xfrm>
          <a:off x="121920" y="60960"/>
          <a:ext cx="4404360" cy="38862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b="1"/>
            <a:t>FOOD DELIVERY PERFORMANCE</a:t>
          </a:r>
          <a:r>
            <a:rPr lang="en-US" sz="1800" b="1" baseline="0"/>
            <a:t> </a:t>
          </a:r>
          <a:r>
            <a:rPr lang="en-US" sz="1800" b="1"/>
            <a:t>DAHBOARD</a:t>
          </a:r>
        </a:p>
      </xdr:txBody>
    </xdr:sp>
    <xdr:clientData/>
  </xdr:twoCellAnchor>
  <xdr:twoCellAnchor>
    <xdr:from>
      <xdr:col>0</xdr:col>
      <xdr:colOff>106680</xdr:colOff>
      <xdr:row>6</xdr:row>
      <xdr:rowOff>68580</xdr:rowOff>
    </xdr:from>
    <xdr:to>
      <xdr:col>8</xdr:col>
      <xdr:colOff>586740</xdr:colOff>
      <xdr:row>20</xdr:row>
      <xdr:rowOff>106680</xdr:rowOff>
    </xdr:to>
    <xdr:graphicFrame macro="">
      <xdr:nvGraphicFramePr>
        <xdr:cNvPr id="3" name="Chart 2">
          <a:extLst>
            <a:ext uri="{FF2B5EF4-FFF2-40B4-BE49-F238E27FC236}">
              <a16:creationId xmlns:a16="http://schemas.microsoft.com/office/drawing/2014/main" id="{C96CFD21-1ACC-4386-8A38-4CA52A4AB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137160</xdr:colOff>
      <xdr:row>6</xdr:row>
      <xdr:rowOff>76200</xdr:rowOff>
    </xdr:from>
    <xdr:to>
      <xdr:col>16</xdr:col>
      <xdr:colOff>441960</xdr:colOff>
      <xdr:row>20</xdr:row>
      <xdr:rowOff>99060</xdr:rowOff>
    </xdr:to>
    <xdr:graphicFrame macro="">
      <xdr:nvGraphicFramePr>
        <xdr:cNvPr id="4" name="Chart 3">
          <a:extLst>
            <a:ext uri="{FF2B5EF4-FFF2-40B4-BE49-F238E27FC236}">
              <a16:creationId xmlns:a16="http://schemas.microsoft.com/office/drawing/2014/main" id="{20FBC647-4D42-4FC3-8B5E-DF5D843FD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388620</xdr:colOff>
      <xdr:row>6</xdr:row>
      <xdr:rowOff>137160</xdr:rowOff>
    </xdr:from>
    <xdr:to>
      <xdr:col>20</xdr:col>
      <xdr:colOff>388620</xdr:colOff>
      <xdr:row>18</xdr:row>
      <xdr:rowOff>91439</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5775D570-D9B1-4F44-B986-F8F52AC58F6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751820" y="1234440"/>
              <a:ext cx="1828800" cy="2148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274320</xdr:colOff>
      <xdr:row>0</xdr:row>
      <xdr:rowOff>106680</xdr:rowOff>
    </xdr:from>
    <xdr:to>
      <xdr:col>12</xdr:col>
      <xdr:colOff>335280</xdr:colOff>
      <xdr:row>3</xdr:row>
      <xdr:rowOff>106680</xdr:rowOff>
    </xdr:to>
    <xdr:grpSp>
      <xdr:nvGrpSpPr>
        <xdr:cNvPr id="8" name="Group 7">
          <a:extLst>
            <a:ext uri="{FF2B5EF4-FFF2-40B4-BE49-F238E27FC236}">
              <a16:creationId xmlns:a16="http://schemas.microsoft.com/office/drawing/2014/main" id="{53224FCD-165E-ECAA-0F43-0C8ED34A8EF3}"/>
            </a:ext>
          </a:extLst>
        </xdr:cNvPr>
        <xdr:cNvGrpSpPr/>
      </xdr:nvGrpSpPr>
      <xdr:grpSpPr>
        <a:xfrm>
          <a:off x="5151120" y="106680"/>
          <a:ext cx="2499360" cy="548640"/>
          <a:chOff x="5151120" y="106680"/>
          <a:chExt cx="2499360" cy="548640"/>
        </a:xfrm>
      </xdr:grpSpPr>
      <xdr:sp macro="" textlink="">
        <xdr:nvSpPr>
          <xdr:cNvPr id="6" name="Rectangle 5">
            <a:extLst>
              <a:ext uri="{FF2B5EF4-FFF2-40B4-BE49-F238E27FC236}">
                <a16:creationId xmlns:a16="http://schemas.microsoft.com/office/drawing/2014/main" id="{E3D9BC25-A0E2-03A0-52B2-559EC7D53367}"/>
              </a:ext>
            </a:extLst>
          </xdr:cNvPr>
          <xdr:cNvSpPr/>
        </xdr:nvSpPr>
        <xdr:spPr>
          <a:xfrm>
            <a:off x="5151120" y="106680"/>
            <a:ext cx="2491740" cy="541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                   Total</a:t>
            </a:r>
            <a:r>
              <a:rPr lang="en-US" sz="1200" b="1" baseline="0"/>
              <a:t> No of Order</a:t>
            </a:r>
            <a:endParaRPr lang="en-US" sz="1200" b="1"/>
          </a:p>
        </xdr:txBody>
      </xdr:sp>
      <xdr:sp macro="" textlink="KPI!$A$2">
        <xdr:nvSpPr>
          <xdr:cNvPr id="7" name="Rectangle 6">
            <a:extLst>
              <a:ext uri="{FF2B5EF4-FFF2-40B4-BE49-F238E27FC236}">
                <a16:creationId xmlns:a16="http://schemas.microsoft.com/office/drawing/2014/main" id="{C0978729-780D-48B4-BF82-ACDD4B830B79}"/>
              </a:ext>
            </a:extLst>
          </xdr:cNvPr>
          <xdr:cNvSpPr/>
        </xdr:nvSpPr>
        <xdr:spPr>
          <a:xfrm>
            <a:off x="5151120" y="335280"/>
            <a:ext cx="2499360" cy="3200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                                     </a:t>
            </a:r>
            <a:fld id="{D96F9807-F5CD-41D1-9ADD-F9AC7C57118D}" type="TxLink">
              <a:rPr lang="en-US" sz="1100" b="1" i="0" u="none" strike="noStrike">
                <a:solidFill>
                  <a:schemeClr val="bg1"/>
                </a:solidFill>
                <a:latin typeface="Aptos Narrow"/>
              </a:rPr>
              <a:pPr algn="l"/>
              <a:t>10</a:t>
            </a:fld>
            <a:endParaRPr lang="en-US" sz="1100" b="1">
              <a:solidFill>
                <a:schemeClr val="bg1"/>
              </a:solidFill>
            </a:endParaRPr>
          </a:p>
        </xdr:txBody>
      </xdr:sp>
    </xdr:grpSp>
    <xdr:clientData/>
  </xdr:twoCellAnchor>
  <xdr:twoCellAnchor>
    <xdr:from>
      <xdr:col>12</xdr:col>
      <xdr:colOff>594360</xdr:colOff>
      <xdr:row>0</xdr:row>
      <xdr:rowOff>99060</xdr:rowOff>
    </xdr:from>
    <xdr:to>
      <xdr:col>17</xdr:col>
      <xdr:colOff>45720</xdr:colOff>
      <xdr:row>3</xdr:row>
      <xdr:rowOff>99060</xdr:rowOff>
    </xdr:to>
    <xdr:grpSp>
      <xdr:nvGrpSpPr>
        <xdr:cNvPr id="9" name="Group 8">
          <a:extLst>
            <a:ext uri="{FF2B5EF4-FFF2-40B4-BE49-F238E27FC236}">
              <a16:creationId xmlns:a16="http://schemas.microsoft.com/office/drawing/2014/main" id="{D4B3EFE0-6BCF-447C-8CFE-E9953B9A2606}"/>
            </a:ext>
          </a:extLst>
        </xdr:cNvPr>
        <xdr:cNvGrpSpPr/>
      </xdr:nvGrpSpPr>
      <xdr:grpSpPr>
        <a:xfrm>
          <a:off x="7909560" y="99060"/>
          <a:ext cx="2499360" cy="548640"/>
          <a:chOff x="5151120" y="106680"/>
          <a:chExt cx="2499360" cy="548640"/>
        </a:xfrm>
      </xdr:grpSpPr>
      <xdr:sp macro="" textlink="">
        <xdr:nvSpPr>
          <xdr:cNvPr id="10" name="Rectangle 9">
            <a:extLst>
              <a:ext uri="{FF2B5EF4-FFF2-40B4-BE49-F238E27FC236}">
                <a16:creationId xmlns:a16="http://schemas.microsoft.com/office/drawing/2014/main" id="{C6BA9DEA-932B-78A1-EE19-7C2837A2E2E4}"/>
              </a:ext>
            </a:extLst>
          </xdr:cNvPr>
          <xdr:cNvSpPr/>
        </xdr:nvSpPr>
        <xdr:spPr>
          <a:xfrm>
            <a:off x="5151120" y="106680"/>
            <a:ext cx="2491740" cy="541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             Average</a:t>
            </a:r>
            <a:r>
              <a:rPr lang="en-US" sz="1200" b="1" baseline="0"/>
              <a:t> Delivery Time(min)</a:t>
            </a:r>
            <a:endParaRPr lang="en-US" sz="1200" b="1"/>
          </a:p>
        </xdr:txBody>
      </xdr:sp>
      <xdr:sp macro="" textlink="KPI!$B$2">
        <xdr:nvSpPr>
          <xdr:cNvPr id="11" name="Rectangle 10">
            <a:extLst>
              <a:ext uri="{FF2B5EF4-FFF2-40B4-BE49-F238E27FC236}">
                <a16:creationId xmlns:a16="http://schemas.microsoft.com/office/drawing/2014/main" id="{25EB8879-9060-8E12-FA18-D8214D2FF0B3}"/>
              </a:ext>
            </a:extLst>
          </xdr:cNvPr>
          <xdr:cNvSpPr/>
        </xdr:nvSpPr>
        <xdr:spPr>
          <a:xfrm>
            <a:off x="5151120" y="335280"/>
            <a:ext cx="2499360" cy="3200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bg1"/>
                </a:solidFill>
                <a:latin typeface="Aptos Narrow"/>
              </a:rPr>
              <a:t>                                          </a:t>
            </a:r>
            <a:fld id="{FAE73F3E-9B40-436A-97CF-9798FD50EA12}" type="TxLink">
              <a:rPr lang="en-US" sz="1100" b="1" i="0" u="none" strike="noStrike">
                <a:solidFill>
                  <a:schemeClr val="bg1"/>
                </a:solidFill>
                <a:latin typeface="Aptos Narrow"/>
              </a:rPr>
              <a:pPr algn="l"/>
              <a:t>34</a:t>
            </a:fld>
            <a:endParaRPr lang="en-US" sz="1100" b="1">
              <a:solidFill>
                <a:schemeClr val="bg1"/>
              </a:solidFill>
            </a:endParaRPr>
          </a:p>
        </xdr:txBody>
      </xdr:sp>
    </xdr:grpSp>
    <xdr:clientData/>
  </xdr:twoCellAnchor>
</xdr:wsDr>
</file>

<file path=xl/drawings/drawing5.xml><?xml version="1.0" encoding="utf-8"?>
<c:userShapes xmlns:c="http://schemas.openxmlformats.org/drawingml/2006/chart">
  <cdr:relSizeAnchor xmlns:cdr="http://schemas.openxmlformats.org/drawingml/2006/chartDrawing">
    <cdr:from>
      <cdr:x>0</cdr:x>
      <cdr:y>0.01861</cdr:y>
    </cdr:from>
    <cdr:to>
      <cdr:x>0.8125</cdr:x>
      <cdr:y>0.14076</cdr:y>
    </cdr:to>
    <cdr:sp macro="" textlink="">
      <cdr:nvSpPr>
        <cdr:cNvPr id="2" name="TextBox 1">
          <a:extLst xmlns:a="http://schemas.openxmlformats.org/drawingml/2006/main">
            <a:ext uri="{FF2B5EF4-FFF2-40B4-BE49-F238E27FC236}">
              <a16:creationId xmlns:a16="http://schemas.microsoft.com/office/drawing/2014/main" id="{8E0CD799-682A-297F-9A9E-6C6861534872}"/>
            </a:ext>
          </a:extLst>
        </cdr:cNvPr>
        <cdr:cNvSpPr txBox="1"/>
      </cdr:nvSpPr>
      <cdr:spPr>
        <a:xfrm xmlns:a="http://schemas.openxmlformats.org/drawingml/2006/main">
          <a:off x="0" y="48357"/>
          <a:ext cx="3962400" cy="3174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solidFill>
                <a:schemeClr val="tx1"/>
              </a:solidFill>
            </a:rPr>
            <a:t>City-wise Total</a:t>
          </a:r>
          <a:r>
            <a:rPr lang="en-US" sz="1400" b="1" kern="1200" baseline="0">
              <a:solidFill>
                <a:schemeClr val="tx1"/>
              </a:solidFill>
            </a:rPr>
            <a:t> Delivery Charge &amp; No of orders</a:t>
          </a:r>
          <a:r>
            <a:rPr lang="en-US" sz="1400" b="1" kern="1200">
              <a:solidFill>
                <a:schemeClr val="tx1"/>
              </a:solidFill>
            </a:rPr>
            <a:t>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b.polackal" refreshedDate="46222.701726851854" createdVersion="8" refreshedVersion="8" minRefreshableVersion="3" recordCount="10" xr:uid="{7E9B2F3F-2894-430A-A295-744079847D9B}">
  <cacheSource type="worksheet">
    <worksheetSource name="Table2"/>
  </cacheSource>
  <cacheFields count="12">
    <cacheField name="Order ID" numFmtId="0">
      <sharedItems containsSemiMixedTypes="0" containsString="0" containsNumber="1" containsInteger="1" minValue="1001" maxValue="1010"/>
    </cacheField>
    <cacheField name="Customer ID" numFmtId="0">
      <sharedItems/>
    </cacheField>
    <cacheField name="Restaurant ID" numFmtId="0">
      <sharedItems/>
    </cacheField>
    <cacheField name="Order Value" numFmtId="0">
      <sharedItems containsSemiMixedTypes="0" containsString="0" containsNumber="1" containsInteger="1" minValue="280" maxValue="1250" count="10">
        <n v="450"/>
        <n v="820"/>
        <n v="320"/>
        <n v="600"/>
        <n v="1250"/>
        <n v="280"/>
        <n v="510"/>
        <n v="950"/>
        <n v="420"/>
        <n v="380"/>
      </sharedItems>
    </cacheField>
    <cacheField name="Delivery Charge" numFmtId="0">
      <sharedItems containsSemiMixedTypes="0" containsString="0" containsNumber="1" containsInteger="1" minValue="0" maxValue="50"/>
    </cacheField>
    <cacheField name="Delivery Time (mins)" numFmtId="0">
      <sharedItems containsSemiMixedTypes="0" containsString="0" containsNumber="1" containsInteger="1" minValue="22" maxValue="50"/>
    </cacheField>
    <cacheField name="Delivery Date 1" numFmtId="14">
      <sharedItems containsDate="1" containsMixedTypes="1" minDate="2026-07-10T00:00:00" maxDate="2026-12-08T00:00:00"/>
    </cacheField>
    <cacheField name="Delivery Date" numFmtId="14">
      <sharedItems containsSemiMixedTypes="0" containsNonDate="0" containsDate="1" containsString="0" minDate="2026-07-10T00:00:00" maxDate="2026-12-08T00:00:00"/>
    </cacheField>
    <cacheField name="Day of the week" numFmtId="0">
      <sharedItems/>
    </cacheField>
    <cacheField name="Delivery Partner" numFmtId="0">
      <sharedItems/>
    </cacheField>
    <cacheField name="City" numFmtId="0">
      <sharedItems count="3">
        <s v="Surat"/>
        <s v="Ahmedabad"/>
        <s v="Mumbai"/>
      </sharedItems>
    </cacheField>
    <cacheField name="Restaurant Name" numFmtId="0">
      <sharedItems count="5">
        <s v="Spice Symphony"/>
        <s v="Barbeque Nation"/>
        <s v="The Grand Thali"/>
        <s v="Burger House"/>
        <s v="Cafe Coffee Day"/>
      </sharedItems>
    </cacheField>
  </cacheFields>
  <extLst>
    <ext xmlns:x14="http://schemas.microsoft.com/office/spreadsheetml/2009/9/main" uri="{725AE2AE-9491-48be-B2B4-4EB974FC3084}">
      <x14:pivotCacheDefinition pivotCacheId="497606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C8921"/>
    <s v="R302"/>
    <x v="0"/>
    <n v="40"/>
    <n v="32"/>
    <d v="2026-07-10T00:00:00"/>
    <d v="2026-07-10T00:00:00"/>
    <s v="Friday"/>
    <s v="Ramesh Kumar"/>
    <x v="0"/>
    <x v="0"/>
  </r>
  <r>
    <n v="1002"/>
    <s v="C4312"/>
    <s v="R305"/>
    <x v="1"/>
    <n v="0"/>
    <n v="45"/>
    <d v="2026-11-07T00:00:00"/>
    <d v="2026-11-07T00:00:00"/>
    <s v="Saturday"/>
    <s v="Unassigned"/>
    <x v="0"/>
    <x v="1"/>
  </r>
  <r>
    <n v="1003"/>
    <s v="C5521"/>
    <s v="R301"/>
    <x v="2"/>
    <n v="30"/>
    <n v="25"/>
    <d v="2026-07-11T00:00:00"/>
    <d v="2026-07-11T00:00:00"/>
    <s v="Saturday"/>
    <s v="Amit Patel"/>
    <x v="1"/>
    <x v="2"/>
  </r>
  <r>
    <n v="1004"/>
    <s v="C1092"/>
    <s v="R303"/>
    <x v="3"/>
    <n v="50"/>
    <n v="38"/>
    <d v="2026-12-07T00:00:00"/>
    <d v="2026-12-07T00:00:00"/>
    <s v="Monday"/>
    <s v="Vikram Singh"/>
    <x v="2"/>
    <x v="3"/>
  </r>
  <r>
    <n v="1005"/>
    <s v="C7743"/>
    <s v="R301"/>
    <x v="4"/>
    <n v="0"/>
    <n v="50"/>
    <d v="2026-07-12T00:00:00"/>
    <d v="2026-07-12T00:00:00"/>
    <s v="Sunday"/>
    <s v="Unassigned"/>
    <x v="1"/>
    <x v="2"/>
  </r>
  <r>
    <n v="1006"/>
    <s v="C3321"/>
    <s v="R304"/>
    <x v="5"/>
    <n v="35"/>
    <n v="22"/>
    <s v="13/07/2026"/>
    <d v="2026-07-13T00:00:00"/>
    <s v="Monday"/>
    <s v="Suresh Pal"/>
    <x v="0"/>
    <x v="4"/>
  </r>
  <r>
    <n v="1007"/>
    <s v="C9081"/>
    <s v="R302"/>
    <x v="6"/>
    <n v="40"/>
    <n v="28"/>
    <d v="2026-07-14T00:00:00"/>
    <d v="2026-07-14T00:00:00"/>
    <s v="Tuesday"/>
    <s v="Ramesh Kumar"/>
    <x v="0"/>
    <x v="0"/>
  </r>
  <r>
    <n v="1008"/>
    <s v="C2241"/>
    <s v="R305"/>
    <x v="7"/>
    <n v="0"/>
    <n v="42"/>
    <s v="14-07-2026"/>
    <d v="2026-07-14T00:00:00"/>
    <s v="Tuesday"/>
    <s v="Unassigned"/>
    <x v="0"/>
    <x v="1"/>
  </r>
  <r>
    <n v="1009"/>
    <s v="C6532"/>
    <s v="R303"/>
    <x v="8"/>
    <n v="30"/>
    <n v="35"/>
    <d v="2026-07-15T00:00:00"/>
    <d v="2026-07-15T00:00:00"/>
    <s v="Wednesday"/>
    <s v="Vikram Singh"/>
    <x v="2"/>
    <x v="3"/>
  </r>
  <r>
    <n v="1010"/>
    <s v="C1120"/>
    <s v="R301"/>
    <x v="9"/>
    <n v="30"/>
    <n v="27"/>
    <s v="15/07/2026"/>
    <d v="2026-07-15T00:00:00"/>
    <s v="Wednesday"/>
    <s v="Amit Patel"/>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7491EA-6E28-4F22-A8BF-A9E96024B7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A3:C7" firstHeaderRow="0" firstDataRow="1" firstDataCol="1"/>
  <pivotFields count="12">
    <pivotField showAll="0"/>
    <pivotField showAll="0"/>
    <pivotField showAll="0"/>
    <pivotField dataField="1" showAll="0"/>
    <pivotField dataField="1" showAll="0"/>
    <pivotField showAll="0"/>
    <pivotField showAll="0"/>
    <pivotField numFmtId="14" showAll="0"/>
    <pivotField showAll="0"/>
    <pivotField showAll="0"/>
    <pivotField axis="axisRow" showAll="0">
      <items count="4">
        <item x="1"/>
        <item x="2"/>
        <item x="0"/>
        <item t="default"/>
      </items>
    </pivotField>
    <pivotField showAll="0"/>
  </pivotFields>
  <rowFields count="1">
    <field x="10"/>
  </rowFields>
  <rowItems count="4">
    <i>
      <x/>
    </i>
    <i>
      <x v="1"/>
    </i>
    <i>
      <x v="2"/>
    </i>
    <i t="grand">
      <x/>
    </i>
  </rowItems>
  <colFields count="1">
    <field x="-2"/>
  </colFields>
  <colItems count="2">
    <i>
      <x/>
    </i>
    <i i="1">
      <x v="1"/>
    </i>
  </colItems>
  <dataFields count="2">
    <dataField name="Count of Order Value" fld="3" subtotal="count" baseField="10" baseItem="0"/>
    <dataField name="Total Delivery Charge" fld="4" baseField="10" baseItem="0" numFmtId="164"/>
  </dataFields>
  <formats count="2">
    <format dxfId="2">
      <pivotArea outline="0" collapsedLevelsAreSubtotals="1" fieldPosition="0">
        <references count="1">
          <reference field="4294967294" count="1" selected="0">
            <x v="1"/>
          </reference>
        </references>
      </pivotArea>
    </format>
    <format dxfId="1">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3800C0-43C9-4F62-BB98-55E8ED91E94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Restaurant Name">
  <location ref="A3:B6" firstHeaderRow="1" firstDataRow="1" firstDataCol="1"/>
  <pivotFields count="12">
    <pivotField showAll="0"/>
    <pivotField showAll="0"/>
    <pivotField showAll="0"/>
    <pivotField dataField="1" showAll="0">
      <items count="11">
        <item x="5"/>
        <item x="2"/>
        <item x="9"/>
        <item x="8"/>
        <item x="0"/>
        <item x="6"/>
        <item x="3"/>
        <item x="1"/>
        <item x="7"/>
        <item x="4"/>
        <item t="default"/>
      </items>
    </pivotField>
    <pivotField showAll="0"/>
    <pivotField showAll="0"/>
    <pivotField showAll="0"/>
    <pivotField numFmtId="14" showAll="0"/>
    <pivotField showAll="0"/>
    <pivotField showAll="0"/>
    <pivotField showAll="0">
      <items count="4">
        <item x="1"/>
        <item x="2"/>
        <item x="0"/>
        <item t="default"/>
      </items>
    </pivotField>
    <pivotField axis="axisRow" showAll="0" sortType="ascending">
      <items count="6">
        <item x="1"/>
        <item h="1" x="3"/>
        <item h="1" x="4"/>
        <item x="0"/>
        <item x="2"/>
        <item t="default"/>
      </items>
    </pivotField>
  </pivotFields>
  <rowFields count="1">
    <field x="11"/>
  </rowFields>
  <rowItems count="3">
    <i>
      <x/>
    </i>
    <i>
      <x v="3"/>
    </i>
    <i>
      <x v="4"/>
    </i>
  </rowItems>
  <colItems count="1">
    <i/>
  </colItems>
  <dataFields count="1">
    <dataField name="Count of Order Value" fld="3" subtotal="count" baseField="10" baseItem="0"/>
  </dataField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2E4A09-90AA-4EDE-B2E3-439AC817A0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A1:B2" firstHeaderRow="0" firstDataRow="1" firstDataCol="0"/>
  <pivotFields count="12">
    <pivotField showAll="0"/>
    <pivotField showAll="0"/>
    <pivotField showAll="0"/>
    <pivotField dataField="1" showAll="0"/>
    <pivotField showAll="0"/>
    <pivotField dataField="1" showAll="0"/>
    <pivotField showAll="0"/>
    <pivotField numFmtId="14" showAll="0"/>
    <pivotField showAll="0"/>
    <pivotField showAll="0"/>
    <pivotField showAll="0">
      <items count="4">
        <item x="1"/>
        <item x="2"/>
        <item x="0"/>
        <item t="default"/>
      </items>
    </pivotField>
    <pivotField showAll="0"/>
  </pivotFields>
  <rowItems count="1">
    <i/>
  </rowItems>
  <colFields count="1">
    <field x="-2"/>
  </colFields>
  <colItems count="2">
    <i>
      <x/>
    </i>
    <i i="1">
      <x v="1"/>
    </i>
  </colItems>
  <dataFields count="2">
    <dataField name="Count of Order Value" fld="3" subtotal="count" baseField="10" baseItem="0"/>
    <dataField name="Average of Delivery Time (mins)" fld="5" subtotal="average" baseField="0" baseItem="1" numFmtId="1"/>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83EC538-2B65-46A0-A922-24739DEC11C7}" sourceName="City">
  <pivotTables>
    <pivotTable tabId="5" name="PivotTable1"/>
    <pivotTable tabId="8" name="PivotTable3"/>
    <pivotTable tabId="6" name="PivotTable2"/>
  </pivotTables>
  <data>
    <tabular pivotCacheId="49760617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C15F20B-A0EA-4EFD-9216-D32AA3673430}"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B98B9F4-389D-4BCC-BF63-B1E703D6DCED}"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DC4E62-FB2D-4449-8A77-4351B1AAF245}" name="Table2" displayName="Table2" ref="A1:L11" totalsRowShown="0" headerRowDxfId="25" headerRowBorderDxfId="24" tableBorderDxfId="23" totalsRowBorderDxfId="22">
  <autoFilter ref="A1:L11" xr:uid="{72DC4E62-FB2D-4449-8A77-4351B1AAF245}"/>
  <tableColumns count="12">
    <tableColumn id="1" xr3:uid="{765FCFD9-0BB1-483D-899A-300D44181E46}" name="Order ID" dataDxfId="21"/>
    <tableColumn id="2" xr3:uid="{DFF068D6-9C23-41EC-800B-CE7DB733B018}" name="Customer ID" dataDxfId="20"/>
    <tableColumn id="3" xr3:uid="{11D2F2A3-1D02-4CEA-BD04-7BAA23AEB7D6}" name="Restaurant ID" dataDxfId="19"/>
    <tableColumn id="4" xr3:uid="{1BC10ED2-1644-4A17-ACEB-AA5A12D586F1}" name="Order Value" dataDxfId="18"/>
    <tableColumn id="5" xr3:uid="{C328D3D4-A17B-478D-BEB9-6190D02AFAE0}" name="Delivery Charge" dataDxfId="17"/>
    <tableColumn id="6" xr3:uid="{D25642DB-3DFF-40D4-92C3-522D7F271DA7}" name="Delivery Time (mins)" dataDxfId="16"/>
    <tableColumn id="7" xr3:uid="{835F6FFA-F939-44CF-AF41-3936F24BD33D}" name="Delivery Date 1" dataDxfId="15"/>
    <tableColumn id="8" xr3:uid="{EA0ED4A7-DC40-461C-9DE7-3AC082CDB1A8}" name="Delivery Date" dataDxfId="14">
      <calculatedColumnFormula>IF(ISNUMBER(G2),G2,DATE(RIGHT(SUBSTITUTE(G2,"/","-"),4),MID(SUBSTITUTE(G2,"/","-"),4,2),LEFT(SUBSTITUTE(G2,"/","-"),2)))</calculatedColumnFormula>
    </tableColumn>
    <tableColumn id="13" xr3:uid="{A8DCDE6C-4AB0-4A38-A110-7A4B4213B9C3}" name="Day of the week" dataDxfId="13">
      <calculatedColumnFormula>TEXT(Table2[[#This Row],[Delivery Date]], "dddd")</calculatedColumnFormula>
    </tableColumn>
    <tableColumn id="9" xr3:uid="{24584457-7FB4-405A-99DE-F808A04D683B}" name="Delivery Partner" dataDxfId="12"/>
    <tableColumn id="10" xr3:uid="{33282775-E93A-4B06-AA94-5A7B74F192EA}" name="City" dataDxfId="11"/>
    <tableColumn id="11" xr3:uid="{31F35719-054E-4291-A507-A00EEEE8FDFA}" name="Restaurant Name" dataDxfId="10">
      <calculatedColumnFormula>VLOOKUP(Table2[[#This Row],[Restaurant ID]],Table4[[Restaurant ID]:[Restaurant Name]],2,0)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ACFD28-D19F-4D95-AC8B-76F8F846DD04}" name="Table4" displayName="Table4" ref="A1:C6" totalsRowShown="0" headerRowDxfId="9" headerRowBorderDxfId="8" tableBorderDxfId="7" totalsRowBorderDxfId="6">
  <autoFilter ref="A1:C6" xr:uid="{2DACFD28-D19F-4D95-AC8B-76F8F846DD04}"/>
  <tableColumns count="3">
    <tableColumn id="1" xr3:uid="{525C042C-DB9C-458A-A1D1-042C9296D55C}" name="Restaurant ID" dataDxfId="5"/>
    <tableColumn id="2" xr3:uid="{91C814FE-C787-4E6A-9176-71BFC81764FC}" name="Restaurant Name" dataDxfId="4"/>
    <tableColumn id="3" xr3:uid="{14B427B2-CFEE-413E-B022-2F0E13EA6513}" name="Cuisin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0A3CF-49A9-4A21-9548-452A9A2492FA}">
  <dimension ref="A1:L11"/>
  <sheetViews>
    <sheetView workbookViewId="0">
      <selection activeCell="E8" sqref="E8"/>
    </sheetView>
  </sheetViews>
  <sheetFormatPr defaultRowHeight="14.4" x14ac:dyDescent="0.3"/>
  <cols>
    <col min="1" max="1" width="9.77734375" customWidth="1"/>
    <col min="2" max="2" width="15.6640625" bestFit="1" customWidth="1"/>
    <col min="3" max="3" width="16.5546875" bestFit="1" customWidth="1"/>
    <col min="4" max="4" width="15.21875" bestFit="1" customWidth="1"/>
    <col min="5" max="5" width="18.44140625" bestFit="1" customWidth="1"/>
    <col min="6" max="6" width="22.6640625" bestFit="1" customWidth="1"/>
    <col min="7" max="7" width="16.44140625" hidden="1" customWidth="1"/>
    <col min="8" max="8" width="17.5546875" bestFit="1" customWidth="1"/>
    <col min="9" max="10" width="18.77734375" bestFit="1" customWidth="1"/>
    <col min="11" max="11" width="19.88671875" bestFit="1" customWidth="1"/>
    <col min="12" max="12" width="18.21875" bestFit="1" customWidth="1"/>
  </cols>
  <sheetData>
    <row r="1" spans="1:12" x14ac:dyDescent="0.3">
      <c r="A1" s="7" t="s">
        <v>0</v>
      </c>
      <c r="B1" s="8" t="s">
        <v>1</v>
      </c>
      <c r="C1" s="8" t="s">
        <v>2</v>
      </c>
      <c r="D1" s="8" t="s">
        <v>3</v>
      </c>
      <c r="E1" s="8" t="s">
        <v>4</v>
      </c>
      <c r="F1" s="8" t="s">
        <v>5</v>
      </c>
      <c r="G1" s="9" t="s">
        <v>48</v>
      </c>
      <c r="H1" s="9" t="s">
        <v>6</v>
      </c>
      <c r="I1" s="1" t="s">
        <v>47</v>
      </c>
      <c r="J1" s="8" t="s">
        <v>7</v>
      </c>
      <c r="K1" s="10" t="s">
        <v>8</v>
      </c>
      <c r="L1" s="1" t="s">
        <v>34</v>
      </c>
    </row>
    <row r="2" spans="1:12" x14ac:dyDescent="0.3">
      <c r="A2" s="5">
        <v>1001</v>
      </c>
      <c r="B2" s="2" t="s">
        <v>9</v>
      </c>
      <c r="C2" s="2" t="s">
        <v>10</v>
      </c>
      <c r="D2" s="2">
        <v>450</v>
      </c>
      <c r="E2" s="2">
        <v>40</v>
      </c>
      <c r="F2" s="2">
        <v>32</v>
      </c>
      <c r="G2" s="3">
        <v>46213</v>
      </c>
      <c r="H2" s="3">
        <f>IF(ISNUMBER(G2),G2,DATE(RIGHT(SUBSTITUTE(G2,"/","-"),4),MID(SUBSTITUTE(G2,"/","-"),4,2),LEFT(SUBSTITUTE(G2,"/","-"),2)))</f>
        <v>46213</v>
      </c>
      <c r="I2" s="4" t="str">
        <f>TEXT(Table2[[#This Row],[Delivery Date]], "dddd")</f>
        <v>Friday</v>
      </c>
      <c r="J2" s="2" t="s">
        <v>11</v>
      </c>
      <c r="K2" s="6" t="s">
        <v>12</v>
      </c>
      <c r="L2" s="4" t="str">
        <f>VLOOKUP(Table2[[#This Row],[Restaurant ID]],Table4[[Restaurant ID]:[Restaurant Name]],2,0)</f>
        <v>Spice Symphony</v>
      </c>
    </row>
    <row r="3" spans="1:12" x14ac:dyDescent="0.3">
      <c r="A3" s="5">
        <v>1002</v>
      </c>
      <c r="B3" s="2" t="s">
        <v>13</v>
      </c>
      <c r="C3" s="2" t="s">
        <v>14</v>
      </c>
      <c r="D3" s="2">
        <v>820</v>
      </c>
      <c r="E3" s="2">
        <v>0</v>
      </c>
      <c r="F3" s="2">
        <v>45</v>
      </c>
      <c r="G3" s="3">
        <v>46333</v>
      </c>
      <c r="H3" s="3">
        <f t="shared" ref="H3:H11" si="0">IF(ISNUMBER(G3),G3,DATE(RIGHT(SUBSTITUTE(G3,"/","-"),4),MID(SUBSTITUTE(G3,"/","-"),4,2),LEFT(SUBSTITUTE(G3,"/","-"),2)))</f>
        <v>46333</v>
      </c>
      <c r="I3" s="4" t="str">
        <f>TEXT(Table2[[#This Row],[Delivery Date]], "dddd")</f>
        <v>Saturday</v>
      </c>
      <c r="J3" s="2" t="s">
        <v>46</v>
      </c>
      <c r="K3" s="6" t="s">
        <v>12</v>
      </c>
      <c r="L3" s="4" t="str">
        <f>VLOOKUP(Table2[[#This Row],[Restaurant ID]],Table4[[Restaurant ID]:[Restaurant Name]],2,0)</f>
        <v>Barbeque Nation</v>
      </c>
    </row>
    <row r="4" spans="1:12" x14ac:dyDescent="0.3">
      <c r="A4" s="5">
        <v>1003</v>
      </c>
      <c r="B4" s="2" t="s">
        <v>15</v>
      </c>
      <c r="C4" s="2" t="s">
        <v>16</v>
      </c>
      <c r="D4" s="2">
        <v>320</v>
      </c>
      <c r="E4" s="2">
        <v>30</v>
      </c>
      <c r="F4" s="2">
        <v>25</v>
      </c>
      <c r="G4" s="3">
        <v>46214</v>
      </c>
      <c r="H4" s="3">
        <f t="shared" si="0"/>
        <v>46214</v>
      </c>
      <c r="I4" s="4" t="str">
        <f>TEXT(Table2[[#This Row],[Delivery Date]], "dddd")</f>
        <v>Saturday</v>
      </c>
      <c r="J4" s="2" t="s">
        <v>17</v>
      </c>
      <c r="K4" s="6" t="s">
        <v>18</v>
      </c>
      <c r="L4" s="4" t="str">
        <f>VLOOKUP(Table2[[#This Row],[Restaurant ID]],Table4[[Restaurant ID]:[Restaurant Name]],2,0)</f>
        <v>The Grand Thali</v>
      </c>
    </row>
    <row r="5" spans="1:12" x14ac:dyDescent="0.3">
      <c r="A5" s="5">
        <v>1004</v>
      </c>
      <c r="B5" s="2" t="s">
        <v>19</v>
      </c>
      <c r="C5" s="2" t="s">
        <v>20</v>
      </c>
      <c r="D5" s="2">
        <v>600</v>
      </c>
      <c r="E5" s="2">
        <v>50</v>
      </c>
      <c r="F5" s="2">
        <v>38</v>
      </c>
      <c r="G5" s="3">
        <v>46363</v>
      </c>
      <c r="H5" s="3">
        <f t="shared" si="0"/>
        <v>46363</v>
      </c>
      <c r="I5" s="4" t="str">
        <f>TEXT(Table2[[#This Row],[Delivery Date]], "dddd")</f>
        <v>Monday</v>
      </c>
      <c r="J5" s="2" t="s">
        <v>21</v>
      </c>
      <c r="K5" s="6" t="s">
        <v>22</v>
      </c>
      <c r="L5" s="4" t="str">
        <f>VLOOKUP(Table2[[#This Row],[Restaurant ID]],Table4[[Restaurant ID]:[Restaurant Name]],2,0)</f>
        <v>Burger House</v>
      </c>
    </row>
    <row r="6" spans="1:12" x14ac:dyDescent="0.3">
      <c r="A6" s="5">
        <v>1005</v>
      </c>
      <c r="B6" s="2" t="s">
        <v>23</v>
      </c>
      <c r="C6" s="2" t="s">
        <v>16</v>
      </c>
      <c r="D6" s="2">
        <v>1250</v>
      </c>
      <c r="E6" s="2">
        <v>0</v>
      </c>
      <c r="F6" s="2">
        <v>50</v>
      </c>
      <c r="G6" s="3">
        <v>46215</v>
      </c>
      <c r="H6" s="3">
        <f t="shared" si="0"/>
        <v>46215</v>
      </c>
      <c r="I6" s="4" t="str">
        <f>TEXT(Table2[[#This Row],[Delivery Date]], "dddd")</f>
        <v>Sunday</v>
      </c>
      <c r="J6" s="2" t="s">
        <v>46</v>
      </c>
      <c r="K6" s="6" t="s">
        <v>18</v>
      </c>
      <c r="L6" s="4" t="str">
        <f>VLOOKUP(Table2[[#This Row],[Restaurant ID]],Table4[[Restaurant ID]:[Restaurant Name]],2,0)</f>
        <v>The Grand Thali</v>
      </c>
    </row>
    <row r="7" spans="1:12" x14ac:dyDescent="0.3">
      <c r="A7" s="5">
        <v>1006</v>
      </c>
      <c r="B7" s="2" t="s">
        <v>24</v>
      </c>
      <c r="C7" s="2" t="s">
        <v>25</v>
      </c>
      <c r="D7" s="2">
        <v>280</v>
      </c>
      <c r="E7" s="2">
        <v>35</v>
      </c>
      <c r="F7" s="2">
        <v>22</v>
      </c>
      <c r="G7" s="3" t="s">
        <v>26</v>
      </c>
      <c r="H7" s="3">
        <f t="shared" si="0"/>
        <v>46216</v>
      </c>
      <c r="I7" s="4" t="str">
        <f>TEXT(Table2[[#This Row],[Delivery Date]], "dddd")</f>
        <v>Monday</v>
      </c>
      <c r="J7" s="2" t="s">
        <v>27</v>
      </c>
      <c r="K7" s="6" t="s">
        <v>12</v>
      </c>
      <c r="L7" s="4" t="str">
        <f>VLOOKUP(Table2[[#This Row],[Restaurant ID]],Table4[[Restaurant ID]:[Restaurant Name]],2,0)</f>
        <v>Cafe Coffee Day</v>
      </c>
    </row>
    <row r="8" spans="1:12" x14ac:dyDescent="0.3">
      <c r="A8" s="5">
        <v>1007</v>
      </c>
      <c r="B8" s="2" t="s">
        <v>28</v>
      </c>
      <c r="C8" s="2" t="s">
        <v>10</v>
      </c>
      <c r="D8" s="2">
        <v>510</v>
      </c>
      <c r="E8" s="2">
        <v>40</v>
      </c>
      <c r="F8" s="2">
        <v>28</v>
      </c>
      <c r="G8" s="3">
        <v>46217</v>
      </c>
      <c r="H8" s="3">
        <f t="shared" si="0"/>
        <v>46217</v>
      </c>
      <c r="I8" s="4" t="str">
        <f>TEXT(Table2[[#This Row],[Delivery Date]], "dddd")</f>
        <v>Tuesday</v>
      </c>
      <c r="J8" s="2" t="s">
        <v>11</v>
      </c>
      <c r="K8" s="6" t="s">
        <v>12</v>
      </c>
      <c r="L8" s="4" t="str">
        <f>VLOOKUP(Table2[[#This Row],[Restaurant ID]],Table4[[Restaurant ID]:[Restaurant Name]],2,0)</f>
        <v>Spice Symphony</v>
      </c>
    </row>
    <row r="9" spans="1:12" x14ac:dyDescent="0.3">
      <c r="A9" s="5">
        <v>1008</v>
      </c>
      <c r="B9" s="2" t="s">
        <v>29</v>
      </c>
      <c r="C9" s="2" t="s">
        <v>14</v>
      </c>
      <c r="D9" s="2">
        <v>950</v>
      </c>
      <c r="E9" s="2">
        <v>0</v>
      </c>
      <c r="F9" s="2">
        <v>42</v>
      </c>
      <c r="G9" s="3" t="s">
        <v>30</v>
      </c>
      <c r="H9" s="3">
        <f t="shared" si="0"/>
        <v>46217</v>
      </c>
      <c r="I9" s="4" t="str">
        <f>TEXT(Table2[[#This Row],[Delivery Date]], "dddd")</f>
        <v>Tuesday</v>
      </c>
      <c r="J9" s="2" t="s">
        <v>46</v>
      </c>
      <c r="K9" s="6" t="s">
        <v>12</v>
      </c>
      <c r="L9" s="4" t="str">
        <f>VLOOKUP(Table2[[#This Row],[Restaurant ID]],Table4[[Restaurant ID]:[Restaurant Name]],2,0)</f>
        <v>Barbeque Nation</v>
      </c>
    </row>
    <row r="10" spans="1:12" x14ac:dyDescent="0.3">
      <c r="A10" s="5">
        <v>1009</v>
      </c>
      <c r="B10" s="2" t="s">
        <v>31</v>
      </c>
      <c r="C10" s="2" t="s">
        <v>20</v>
      </c>
      <c r="D10" s="2">
        <v>420</v>
      </c>
      <c r="E10" s="2">
        <v>30</v>
      </c>
      <c r="F10" s="2">
        <v>35</v>
      </c>
      <c r="G10" s="3">
        <v>46218</v>
      </c>
      <c r="H10" s="3">
        <f t="shared" si="0"/>
        <v>46218</v>
      </c>
      <c r="I10" s="4" t="str">
        <f>TEXT(Table2[[#This Row],[Delivery Date]], "dddd")</f>
        <v>Wednesday</v>
      </c>
      <c r="J10" s="2" t="s">
        <v>21</v>
      </c>
      <c r="K10" s="6" t="s">
        <v>22</v>
      </c>
      <c r="L10" s="4" t="str">
        <f>VLOOKUP(Table2[[#This Row],[Restaurant ID]],Table4[[Restaurant ID]:[Restaurant Name]],2,0)</f>
        <v>Burger House</v>
      </c>
    </row>
    <row r="11" spans="1:12" x14ac:dyDescent="0.3">
      <c r="A11" s="11">
        <v>1010</v>
      </c>
      <c r="B11" s="12" t="s">
        <v>32</v>
      </c>
      <c r="C11" s="12" t="s">
        <v>16</v>
      </c>
      <c r="D11" s="12">
        <v>380</v>
      </c>
      <c r="E11" s="12">
        <v>30</v>
      </c>
      <c r="F11" s="12">
        <v>27</v>
      </c>
      <c r="G11" s="13" t="s">
        <v>33</v>
      </c>
      <c r="H11" s="13">
        <f t="shared" si="0"/>
        <v>46218</v>
      </c>
      <c r="I11" s="4" t="str">
        <f>TEXT(Table2[[#This Row],[Delivery Date]], "dddd")</f>
        <v>Wednesday</v>
      </c>
      <c r="J11" s="12" t="s">
        <v>17</v>
      </c>
      <c r="K11" s="14" t="s">
        <v>18</v>
      </c>
      <c r="L11" s="4" t="str">
        <f>VLOOKUP(Table2[[#This Row],[Restaurant ID]],Table4[[Restaurant ID]:[Restaurant Name]],2,0)</f>
        <v>The Grand Thali</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06E1-42DB-44DB-858D-1B6566D2D3CD}">
  <dimension ref="A1:C6"/>
  <sheetViews>
    <sheetView workbookViewId="0">
      <selection activeCell="B17" sqref="B17"/>
    </sheetView>
  </sheetViews>
  <sheetFormatPr defaultRowHeight="14.4" x14ac:dyDescent="0.3"/>
  <cols>
    <col min="1" max="1" width="16.5546875" bestFit="1" customWidth="1"/>
    <col min="2" max="2" width="19.88671875" bestFit="1" customWidth="1"/>
    <col min="3" max="3" width="11.6640625" bestFit="1" customWidth="1"/>
  </cols>
  <sheetData>
    <row r="1" spans="1:3" x14ac:dyDescent="0.3">
      <c r="A1" s="7" t="s">
        <v>2</v>
      </c>
      <c r="B1" s="8" t="s">
        <v>34</v>
      </c>
      <c r="C1" s="10" t="s">
        <v>35</v>
      </c>
    </row>
    <row r="2" spans="1:3" x14ac:dyDescent="0.3">
      <c r="A2" s="5" t="s">
        <v>16</v>
      </c>
      <c r="B2" s="2" t="s">
        <v>36</v>
      </c>
      <c r="C2" s="6" t="s">
        <v>37</v>
      </c>
    </row>
    <row r="3" spans="1:3" x14ac:dyDescent="0.3">
      <c r="A3" s="5" t="s">
        <v>10</v>
      </c>
      <c r="B3" s="2" t="s">
        <v>38</v>
      </c>
      <c r="C3" s="6" t="s">
        <v>39</v>
      </c>
    </row>
    <row r="4" spans="1:3" x14ac:dyDescent="0.3">
      <c r="A4" s="5" t="s">
        <v>20</v>
      </c>
      <c r="B4" s="2" t="s">
        <v>40</v>
      </c>
      <c r="C4" s="6" t="s">
        <v>41</v>
      </c>
    </row>
    <row r="5" spans="1:3" x14ac:dyDescent="0.3">
      <c r="A5" s="5" t="s">
        <v>25</v>
      </c>
      <c r="B5" s="2" t="s">
        <v>42</v>
      </c>
      <c r="C5" s="6" t="s">
        <v>43</v>
      </c>
    </row>
    <row r="6" spans="1:3" x14ac:dyDescent="0.3">
      <c r="A6" s="11" t="s">
        <v>14</v>
      </c>
      <c r="B6" s="12" t="s">
        <v>44</v>
      </c>
      <c r="C6" s="14"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E8DE-0718-441D-B069-2AD920895191}">
  <dimension ref="A3:C7"/>
  <sheetViews>
    <sheetView workbookViewId="0">
      <selection activeCell="A3" sqref="A3:C7"/>
    </sheetView>
  </sheetViews>
  <sheetFormatPr defaultRowHeight="14.4" x14ac:dyDescent="0.3"/>
  <cols>
    <col min="1" max="1" width="10.6640625" bestFit="1" customWidth="1"/>
    <col min="2" max="2" width="18.109375" bestFit="1" customWidth="1"/>
    <col min="3" max="3" width="18.5546875" bestFit="1" customWidth="1"/>
  </cols>
  <sheetData>
    <row r="3" spans="1:3" x14ac:dyDescent="0.3">
      <c r="A3" s="15" t="s">
        <v>8</v>
      </c>
      <c r="B3" t="s">
        <v>50</v>
      </c>
      <c r="C3" s="17" t="s">
        <v>51</v>
      </c>
    </row>
    <row r="4" spans="1:3" x14ac:dyDescent="0.3">
      <c r="A4" s="16" t="s">
        <v>18</v>
      </c>
      <c r="B4">
        <v>3</v>
      </c>
      <c r="C4" s="17">
        <v>60</v>
      </c>
    </row>
    <row r="5" spans="1:3" x14ac:dyDescent="0.3">
      <c r="A5" s="16" t="s">
        <v>22</v>
      </c>
      <c r="B5">
        <v>2</v>
      </c>
      <c r="C5" s="17">
        <v>80</v>
      </c>
    </row>
    <row r="6" spans="1:3" x14ac:dyDescent="0.3">
      <c r="A6" s="16" t="s">
        <v>12</v>
      </c>
      <c r="B6">
        <v>5</v>
      </c>
      <c r="C6" s="17">
        <v>115</v>
      </c>
    </row>
    <row r="7" spans="1:3" x14ac:dyDescent="0.3">
      <c r="A7" s="16" t="s">
        <v>49</v>
      </c>
      <c r="B7">
        <v>10</v>
      </c>
      <c r="C7" s="17">
        <v>255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38F7-3803-4926-8E7F-7ED2BBECD903}">
  <dimension ref="A3:B6"/>
  <sheetViews>
    <sheetView workbookViewId="0">
      <selection activeCell="E25" sqref="E25"/>
    </sheetView>
  </sheetViews>
  <sheetFormatPr defaultRowHeight="14.4" x14ac:dyDescent="0.3"/>
  <cols>
    <col min="1" max="1" width="17.6640625" bestFit="1" customWidth="1"/>
    <col min="2" max="2" width="18.109375" bestFit="1" customWidth="1"/>
    <col min="3" max="3" width="18.5546875" bestFit="1" customWidth="1"/>
  </cols>
  <sheetData>
    <row r="3" spans="1:2" x14ac:dyDescent="0.3">
      <c r="A3" s="15" t="s">
        <v>34</v>
      </c>
      <c r="B3" t="s">
        <v>50</v>
      </c>
    </row>
    <row r="4" spans="1:2" x14ac:dyDescent="0.3">
      <c r="A4" s="16" t="s">
        <v>44</v>
      </c>
      <c r="B4">
        <v>2</v>
      </c>
    </row>
    <row r="5" spans="1:2" x14ac:dyDescent="0.3">
      <c r="A5" s="16" t="s">
        <v>38</v>
      </c>
      <c r="B5">
        <v>2</v>
      </c>
    </row>
    <row r="6" spans="1:2" x14ac:dyDescent="0.3">
      <c r="A6" s="16" t="s">
        <v>36</v>
      </c>
      <c r="B6">
        <v>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9B82B-7760-453B-B40F-AE4451978628}">
  <dimension ref="A1:B2"/>
  <sheetViews>
    <sheetView workbookViewId="0">
      <selection activeCell="A2" sqref="A2"/>
    </sheetView>
  </sheetViews>
  <sheetFormatPr defaultRowHeight="14.4" x14ac:dyDescent="0.3"/>
  <cols>
    <col min="1" max="1" width="18.109375" bestFit="1" customWidth="1"/>
    <col min="2" max="2" width="27.21875" bestFit="1" customWidth="1"/>
    <col min="3" max="3" width="18.5546875" bestFit="1" customWidth="1"/>
  </cols>
  <sheetData>
    <row r="1" spans="1:2" x14ac:dyDescent="0.3">
      <c r="A1" t="s">
        <v>50</v>
      </c>
      <c r="B1" t="s">
        <v>52</v>
      </c>
    </row>
    <row r="2" spans="1:2" x14ac:dyDescent="0.3">
      <c r="A2">
        <v>10</v>
      </c>
      <c r="B2" s="19">
        <v>34.4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76C70-F7C1-46B2-8280-373965CD42A6}">
  <dimension ref="A1"/>
  <sheetViews>
    <sheetView tabSelected="1" workbookViewId="0">
      <selection activeCell="W27" sqref="W27"/>
    </sheetView>
  </sheetViews>
  <sheetFormatPr defaultRowHeight="14.4" x14ac:dyDescent="0.3"/>
  <cols>
    <col min="1" max="16384" width="8.8867187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F31827-B38A-47F9-AEE4-78F1016833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 Data</vt:lpstr>
      <vt:lpstr>Restaurant Details</vt:lpstr>
      <vt:lpstr>P-1</vt:lpstr>
      <vt:lpstr>P-2</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leopolackal123@outlook.com</dc:creator>
  <cp:lastModifiedBy>leopolackal123@outlook.com</cp:lastModifiedBy>
  <dcterms:created xsi:type="dcterms:W3CDTF">2026-07-19T10:17:28Z</dcterms:created>
  <dcterms:modified xsi:type="dcterms:W3CDTF">2026-07-19T12:43:53Z</dcterms:modified>
</cp:coreProperties>
</file>