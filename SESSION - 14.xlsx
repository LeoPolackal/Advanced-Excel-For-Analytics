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a7d4e89c7bcea1a6/Desktop/DATA ANALYTICS ASSIGNMENT/"/>
    </mc:Choice>
  </mc:AlternateContent>
  <xr:revisionPtr revIDLastSave="9" documentId="13_ncr:1_{D6DC0A24-AE92-456C-B8DC-A891E524346A}" xr6:coauthVersionLast="47" xr6:coauthVersionMax="47" xr10:uidLastSave="{653F1116-6FFA-4682-96E9-2BD9EA6683AD}"/>
  <bookViews>
    <workbookView xWindow="-108" yWindow="-108" windowWidth="23256" windowHeight="12456" xr2:uid="{67159418-DBFC-4791-9410-490BA36926E8}"/>
  </bookViews>
  <sheets>
    <sheet name="1" sheetId="5" r:id="rId1"/>
    <sheet name="2" sheetId="6" r:id="rId2"/>
    <sheet name="3" sheetId="1" r:id="rId3"/>
    <sheet name="4" sheetId="7" r:id="rId4"/>
    <sheet name="5" sheetId="8" r:id="rId5"/>
    <sheet name="5(Details)" sheetId="9" r:id="rId6"/>
  </sheets>
  <definedNames>
    <definedName name="Slicer_City">#N/A</definedName>
    <definedName name="Slicer_Restaurant">#N/A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6" l="1"/>
  <c r="D16" i="6"/>
  <c r="C16" i="6"/>
  <c r="E15" i="6"/>
  <c r="D15" i="6"/>
  <c r="C15" i="6"/>
  <c r="E14" i="6"/>
  <c r="D14" i="6"/>
  <c r="C14" i="6"/>
  <c r="E13" i="6"/>
  <c r="D13" i="6"/>
  <c r="C13" i="6"/>
  <c r="E12" i="6"/>
  <c r="D12" i="6"/>
  <c r="C12" i="6"/>
  <c r="E11" i="6"/>
  <c r="D11" i="6"/>
  <c r="C11" i="6"/>
  <c r="E10" i="6"/>
  <c r="D10" i="6"/>
  <c r="C10" i="6"/>
  <c r="E9" i="6"/>
  <c r="D9" i="6"/>
  <c r="C9" i="6"/>
  <c r="E8" i="6"/>
  <c r="D8" i="6"/>
  <c r="C8" i="6"/>
  <c r="E7" i="6"/>
  <c r="D7" i="6"/>
  <c r="C7" i="6"/>
  <c r="E6" i="6"/>
  <c r="D6" i="6"/>
  <c r="C6" i="6"/>
  <c r="E5" i="6"/>
  <c r="D5" i="6"/>
  <c r="C5" i="6"/>
  <c r="E4" i="6"/>
  <c r="D4" i="6"/>
  <c r="C4" i="6"/>
  <c r="E3" i="6"/>
  <c r="D3" i="6"/>
  <c r="C3" i="6"/>
  <c r="E2" i="6"/>
  <c r="D2" i="6"/>
  <c r="C2" i="6"/>
  <c r="E16" i="5"/>
  <c r="D16" i="5"/>
  <c r="C16" i="5"/>
  <c r="E15" i="5"/>
  <c r="D15" i="5"/>
  <c r="C15" i="5"/>
  <c r="E14" i="5"/>
  <c r="D14" i="5"/>
  <c r="C14" i="5"/>
  <c r="E13" i="5"/>
  <c r="D13" i="5"/>
  <c r="C13" i="5"/>
  <c r="E12" i="5"/>
  <c r="D12" i="5"/>
  <c r="C12" i="5"/>
  <c r="E11" i="5"/>
  <c r="D11" i="5"/>
  <c r="C11" i="5"/>
  <c r="E10" i="5"/>
  <c r="D10" i="5"/>
  <c r="C10" i="5"/>
  <c r="E9" i="5"/>
  <c r="D9" i="5"/>
  <c r="C9" i="5"/>
  <c r="E8" i="5"/>
  <c r="D8" i="5"/>
  <c r="C8" i="5"/>
  <c r="E7" i="5"/>
  <c r="D7" i="5"/>
  <c r="C7" i="5"/>
  <c r="E6" i="5"/>
  <c r="D6" i="5"/>
  <c r="C6" i="5"/>
  <c r="E5" i="5"/>
  <c r="D5" i="5"/>
  <c r="C5" i="5"/>
  <c r="E4" i="5"/>
  <c r="D4" i="5"/>
  <c r="C4" i="5"/>
  <c r="E3" i="5"/>
  <c r="D3" i="5"/>
  <c r="C3" i="5"/>
  <c r="E2" i="5"/>
  <c r="D2" i="5"/>
  <c r="C2" i="5"/>
  <c r="E3" i="1"/>
  <c r="E4" i="1"/>
  <c r="E5" i="1"/>
  <c r="E6" i="1"/>
  <c r="E7" i="1"/>
  <c r="E8" i="1"/>
  <c r="E9" i="1"/>
  <c r="E10" i="1"/>
  <c r="E11" i="1"/>
  <c r="E12" i="1"/>
  <c r="E13" i="1"/>
  <c r="E14" i="1"/>
  <c r="E15" i="1"/>
  <c r="E16" i="1"/>
  <c r="E2" i="1"/>
  <c r="D3" i="1"/>
  <c r="D4" i="1"/>
  <c r="D5" i="1"/>
  <c r="D6" i="1"/>
  <c r="D7" i="1"/>
  <c r="D8" i="1"/>
  <c r="D9" i="1"/>
  <c r="D10" i="1"/>
  <c r="D11" i="1"/>
  <c r="D12" i="1"/>
  <c r="D13" i="1"/>
  <c r="D14" i="1"/>
  <c r="D15" i="1"/>
  <c r="D16" i="1"/>
  <c r="D2" i="1"/>
  <c r="C3" i="1"/>
  <c r="C4" i="1"/>
  <c r="C5" i="1"/>
  <c r="C6" i="1"/>
  <c r="C7" i="1"/>
  <c r="C8" i="1"/>
  <c r="C9" i="1"/>
  <c r="C10" i="1"/>
  <c r="C11" i="1"/>
  <c r="C12" i="1"/>
  <c r="C13" i="1"/>
  <c r="C14" i="1"/>
  <c r="C15" i="1"/>
  <c r="C16" i="1"/>
  <c r="C2" i="1"/>
</calcChain>
</file>

<file path=xl/sharedStrings.xml><?xml version="1.0" encoding="utf-8"?>
<sst xmlns="http://schemas.openxmlformats.org/spreadsheetml/2006/main" count="153" uniqueCount="27">
  <si>
    <t>Order ID</t>
  </si>
  <si>
    <t>Order Date</t>
  </si>
  <si>
    <t>Amount</t>
  </si>
  <si>
    <t>City</t>
  </si>
  <si>
    <t>Restaurant</t>
  </si>
  <si>
    <t>Ahmedabad</t>
  </si>
  <si>
    <t>Burger King</t>
  </si>
  <si>
    <t>Mumbai</t>
  </si>
  <si>
    <t>Pizza Hut</t>
  </si>
  <si>
    <t>KFC</t>
  </si>
  <si>
    <t>Delhi</t>
  </si>
  <si>
    <t>Grand Total</t>
  </si>
  <si>
    <t>Sum of Amount</t>
  </si>
  <si>
    <t>Count of Order ID</t>
  </si>
  <si>
    <t>Month</t>
  </si>
  <si>
    <t>Day</t>
  </si>
  <si>
    <t>Year</t>
  </si>
  <si>
    <t>Qtr1</t>
  </si>
  <si>
    <t>Qtr2</t>
  </si>
  <si>
    <t>Qtr3</t>
  </si>
  <si>
    <t>May</t>
  </si>
  <si>
    <t>Jun</t>
  </si>
  <si>
    <t>Apr</t>
  </si>
  <si>
    <t>Average Order Value</t>
  </si>
  <si>
    <t>Column Labels</t>
  </si>
  <si>
    <t>Quarters (Order Date)</t>
  </si>
  <si>
    <t>Details for Sum of Amount - Quarters (Order Date): Qtr2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</si>
</sst>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
    <numFmt numFmtId="165" formatCode="[$₹-4009]\ #,##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7">
    <xf numFmtId="0" fontId="0" fillId="0" borderId="0" xfId="0"/>
    <xf numFmtId="14" fontId="0" fillId="0" borderId="0" xfId="0" applyNumberFormat="1"/>
    <xf numFmtId="0" fontId="0" fillId="0" borderId="1" xfId="0" applyBorder="1" applyAlignment="1">
      <alignment horizontal="center"/>
    </xf>
    <xf numFmtId="14" fontId="0" fillId="0" borderId="1" xfId="0" applyNumberFormat="1" applyBorder="1" applyAlignment="1">
      <alignment horizontal="center"/>
    </xf>
    <xf numFmtId="0" fontId="1" fillId="0" borderId="1" xfId="0" applyFont="1" applyBorder="1" applyAlignment="1">
      <alignment horizontal="center"/>
    </xf>
    <xf numFmtId="0" fontId="0" fillId="0" borderId="0" xfId="0" pivotButton="1"/>
    <xf numFmtId="0" fontId="1" fillId="0" borderId="2" xfId="0" applyFont="1" applyBorder="1" applyAlignment="1">
      <alignment horizontal="center"/>
    </xf>
    <xf numFmtId="164" fontId="1" fillId="0" borderId="1" xfId="0" applyNumberFormat="1" applyFont="1" applyBorder="1" applyAlignment="1">
      <alignment horizontal="center"/>
    </xf>
    <xf numFmtId="164" fontId="0" fillId="0" borderId="1" xfId="0" applyNumberFormat="1" applyBorder="1" applyAlignment="1">
      <alignment horizontal="center"/>
    </xf>
    <xf numFmtId="164" fontId="0" fillId="0" borderId="0" xfId="0" applyNumberFormat="1"/>
    <xf numFmtId="165" fontId="0" fillId="0" borderId="0" xfId="0" applyNumberFormat="1"/>
    <xf numFmtId="0" fontId="1" fillId="0" borderId="0" xfId="0" applyFont="1"/>
    <xf numFmtId="1" fontId="0" fillId="0" borderId="1" xfId="0" applyNumberFormat="1" applyBorder="1" applyAlignment="1">
      <alignment horizontal="center"/>
    </xf>
    <xf numFmtId="1" fontId="0" fillId="0" borderId="0" xfId="0" applyNumberFormat="1"/>
    <xf numFmtId="1" fontId="0" fillId="0" borderId="0" xfId="0" applyNumberFormat="1" applyAlignment="1">
      <alignment horizontal="left" indent="1"/>
    </xf>
    <xf numFmtId="1" fontId="0" fillId="0" borderId="0" xfId="0" applyNumberFormat="1" applyAlignment="1">
      <alignment horizontal="left"/>
    </xf>
    <xf numFmtId="0" fontId="0" fillId="0" borderId="0" xfId="0" applyAlignment="1">
      <alignment horizontal="left" indent="1"/>
    </xf>
  </cellXfs>
  <cellStyles count="1">
    <cellStyle name="Normal" xfId="0" builtinId="0"/>
  </cellStyles>
  <dxfs count="9">
    <dxf>
      <numFmt numFmtId="164" formatCode="[$₹-4009]\ #,##0"/>
    </dxf>
    <dxf>
      <numFmt numFmtId="170" formatCode="&quot;$&quot;#,##0"/>
    </dxf>
    <dxf>
      <numFmt numFmtId="164" formatCode="[$₹-4009]\ #,##0"/>
    </dxf>
    <dxf>
      <numFmt numFmtId="170" formatCode="&quot;$&quot;#,##0"/>
    </dxf>
    <dxf>
      <numFmt numFmtId="169" formatCode="&quot;$&quot;#,##0.0"/>
    </dxf>
    <dxf>
      <numFmt numFmtId="169" formatCode="&quot;$&quot;#,##0.0"/>
    </dxf>
    <dxf>
      <numFmt numFmtId="168" formatCode="&quot;$&quot;#,##0.00"/>
    </dxf>
    <dxf>
      <numFmt numFmtId="168" formatCode="&quot;$&quot;#,##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426720</xdr:colOff>
      <xdr:row>1</xdr:row>
      <xdr:rowOff>114300</xdr:rowOff>
    </xdr:from>
    <xdr:to>
      <xdr:col>3</xdr:col>
      <xdr:colOff>426720</xdr:colOff>
      <xdr:row>15</xdr:row>
      <xdr:rowOff>135255</xdr:rowOff>
    </xdr:to>
    <mc:AlternateContent xmlns:mc="http://schemas.openxmlformats.org/markup-compatibility/2006" xmlns:a14="http://schemas.microsoft.com/office/drawing/2010/main">
      <mc:Choice Requires="a14">
        <xdr:graphicFrame macro="">
          <xdr:nvGraphicFramePr>
            <xdr:cNvPr id="2" name="City 1">
              <a:extLst>
                <a:ext uri="{FF2B5EF4-FFF2-40B4-BE49-F238E27FC236}">
                  <a16:creationId xmlns:a16="http://schemas.microsoft.com/office/drawing/2014/main" id="{02361AF2-1770-42C0-9ECD-D5DB81E4F8F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26720" y="297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129540</xdr:colOff>
      <xdr:row>1</xdr:row>
      <xdr:rowOff>114300</xdr:rowOff>
    </xdr:from>
    <xdr:to>
      <xdr:col>7</xdr:col>
      <xdr:colOff>129540</xdr:colOff>
      <xdr:row>15</xdr:row>
      <xdr:rowOff>135255</xdr:rowOff>
    </xdr:to>
    <mc:AlternateContent xmlns:mc="http://schemas.openxmlformats.org/markup-compatibility/2006" xmlns:a14="http://schemas.microsoft.com/office/drawing/2010/main">
      <mc:Choice Requires="a14">
        <xdr:graphicFrame macro="">
          <xdr:nvGraphicFramePr>
            <xdr:cNvPr id="4" name="Restaurant 1">
              <a:extLst>
                <a:ext uri="{FF2B5EF4-FFF2-40B4-BE49-F238E27FC236}">
                  <a16:creationId xmlns:a16="http://schemas.microsoft.com/office/drawing/2014/main" id="{FB4EDF49-7776-4E6F-8F20-68A689C2C6CB}"/>
                </a:ext>
              </a:extLst>
            </xdr:cNvPr>
            <xdr:cNvGraphicFramePr/>
          </xdr:nvGraphicFramePr>
          <xdr:xfrm>
            <a:off x="0" y="0"/>
            <a:ext cx="0" cy="0"/>
          </xdr:xfrm>
          <a:graphic>
            <a:graphicData uri="http://schemas.microsoft.com/office/drawing/2010/slicer">
              <sle:slicer xmlns:sle="http://schemas.microsoft.com/office/drawing/2010/slicer" name="Restaurant 1"/>
            </a:graphicData>
          </a:graphic>
        </xdr:graphicFrame>
      </mc:Choice>
      <mc:Fallback xmlns="">
        <xdr:sp macro="" textlink="">
          <xdr:nvSpPr>
            <xdr:cNvPr id="0" name=""/>
            <xdr:cNvSpPr>
              <a:spLocks noTextEdit="1"/>
            </xdr:cNvSpPr>
          </xdr:nvSpPr>
          <xdr:spPr>
            <a:xfrm>
              <a:off x="2567940" y="297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xdr:row>
      <xdr:rowOff>129540</xdr:rowOff>
    </xdr:from>
    <xdr:to>
      <xdr:col>16</xdr:col>
      <xdr:colOff>403860</xdr:colOff>
      <xdr:row>11</xdr:row>
      <xdr:rowOff>99060</xdr:rowOff>
    </xdr:to>
    <xdr:sp macro="" textlink="">
      <xdr:nvSpPr>
        <xdr:cNvPr id="2" name="TextBox 1">
          <a:extLst>
            <a:ext uri="{FF2B5EF4-FFF2-40B4-BE49-F238E27FC236}">
              <a16:creationId xmlns:a16="http://schemas.microsoft.com/office/drawing/2014/main" id="{8AC1C4BB-17F5-8048-7275-615973519AE8}"/>
            </a:ext>
          </a:extLst>
        </xdr:cNvPr>
        <xdr:cNvSpPr txBox="1"/>
      </xdr:nvSpPr>
      <xdr:spPr>
        <a:xfrm>
          <a:off x="6454140" y="312420"/>
          <a:ext cx="4442460" cy="179832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a:t>Excel instantly creates a </a:t>
          </a:r>
          <a:r>
            <a:rPr lang="en-US" b="1"/>
            <a:t>brand new worksheet</a:t>
          </a:r>
          <a:r>
            <a:rPr lang="en-US"/>
            <a:t> placed right before your current sheet (usually named something like </a:t>
          </a:r>
          <a:r>
            <a:rPr lang="en-US" i="1"/>
            <a:t>Details</a:t>
          </a:r>
          <a:r>
            <a:rPr lang="en-US"/>
            <a:t>).</a:t>
          </a:r>
        </a:p>
        <a:p>
          <a:endParaRPr lang="en-US"/>
        </a:p>
        <a:p>
          <a:r>
            <a:rPr lang="en-US"/>
            <a:t>This new sheet contains a clean, pre-formatted Excel Table isolating </a:t>
          </a:r>
          <a:r>
            <a:rPr lang="en-US" b="1"/>
            <a:t>only</a:t>
          </a:r>
          <a:r>
            <a:rPr lang="en-US"/>
            <a:t> the individual rows from the master dataset that built that specific total. For this data, it will display exactly 3 rows:</a:t>
          </a:r>
        </a:p>
        <a:p>
          <a:r>
            <a:rPr lang="en-US" i="1"/>
            <a:t>Order 1012 (Ahmedabad, Pizza Hut, 950)</a:t>
          </a:r>
          <a:endParaRPr lang="en-US"/>
        </a:p>
        <a:p>
          <a:r>
            <a:rPr lang="en-US" i="1"/>
            <a:t>Order 1013 (Mumbai, KFC, 310)</a:t>
          </a:r>
          <a:endParaRPr lang="en-US"/>
        </a:p>
        <a:p>
          <a:r>
            <a:rPr lang="en-US" i="1"/>
            <a:t>Order 1014 (Ahmedabad, Burger King, 780)</a:t>
          </a:r>
          <a:endParaRPr lang="en-US"/>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b.polackal" refreshedDate="46221.928291319447" createdVersion="8" refreshedVersion="8" minRefreshableVersion="3" recordCount="15" xr:uid="{4182A879-24E3-4A59-917A-88D80324BCBD}">
  <cacheSource type="worksheet">
    <worksheetSource ref="A1:H16" sheet="3"/>
  </cacheSource>
  <cacheFields count="10">
    <cacheField name="Order ID" numFmtId="1">
      <sharedItems containsSemiMixedTypes="0" containsString="0" containsNumber="1" containsInteger="1" minValue="1001" maxValue="1015"/>
    </cacheField>
    <cacheField name="Order Date" numFmtId="14">
      <sharedItems containsSemiMixedTypes="0" containsNonDate="0" containsDate="1" containsString="0" minDate="2025-01-15T00:00:00" maxDate="2026-07-13T00:00:00" count="15">
        <d v="2025-01-15T00:00:00"/>
        <d v="2025-02-18T00:00:00"/>
        <d v="2025-03-05T00:00:00"/>
        <d v="2025-05-12T00:00:00"/>
        <d v="2025-06-22T00:00:00"/>
        <d v="2025-08-14T00:00:00"/>
        <d v="2025-11-02T00:00:00"/>
        <d v="2025-12-25T00:00:00"/>
        <d v="2026-01-10T00:00:00"/>
        <d v="2026-02-14T00:00:00"/>
        <d v="2026-03-20T00:00:00"/>
        <d v="2026-04-05T00:00:00"/>
        <d v="2026-05-18T00:00:00"/>
        <d v="2026-06-30T00:00:00"/>
        <d v="2026-07-12T00:00:00"/>
      </sharedItems>
    </cacheField>
    <cacheField name="Month" numFmtId="1">
      <sharedItems containsSemiMixedTypes="0" containsString="0" containsNumber="1" containsInteger="1" minValue="1" maxValue="12" count="10">
        <n v="1"/>
        <n v="2"/>
        <n v="3"/>
        <n v="5"/>
        <n v="6"/>
        <n v="8"/>
        <n v="11"/>
        <n v="12"/>
        <n v="4"/>
        <n v="7"/>
      </sharedItems>
    </cacheField>
    <cacheField name="Day" numFmtId="1">
      <sharedItems containsSemiMixedTypes="0" containsString="0" containsNumber="1" containsInteger="1" minValue="2" maxValue="30"/>
    </cacheField>
    <cacheField name="Year" numFmtId="1">
      <sharedItems containsSemiMixedTypes="0" containsString="0" containsNumber="1" containsInteger="1" minValue="2025" maxValue="2026" count="2">
        <n v="2025"/>
        <n v="2026"/>
      </sharedItems>
    </cacheField>
    <cacheField name="Amount" numFmtId="164">
      <sharedItems containsSemiMixedTypes="0" containsString="0" containsNumber="1" containsInteger="1" minValue="290" maxValue="1200"/>
    </cacheField>
    <cacheField name="City" numFmtId="0">
      <sharedItems count="3">
        <s v="Ahmedabad"/>
        <s v="Mumbai"/>
        <s v="Delhi"/>
      </sharedItems>
    </cacheField>
    <cacheField name="Restaurant" numFmtId="0">
      <sharedItems count="3">
        <s v="Burger King"/>
        <s v="Pizza Hut"/>
        <s v="KFC"/>
      </sharedItems>
    </cacheField>
    <cacheField name="Field1" numFmtId="0" formula="Amount/'Order ID'" databaseField="0"/>
    <cacheField name="AOV" numFmtId="0" formula="Amount/'Order ID'" databaseField="0"/>
  </cacheFields>
  <extLst>
    <ext xmlns:x14="http://schemas.microsoft.com/office/spreadsheetml/2009/9/main" uri="{725AE2AE-9491-48be-B2B4-4EB974FC3084}">
      <x14:pivotCacheDefinition pivotCacheId="7886927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b.polackal" refreshedDate="46221.935417708337" createdVersion="8" refreshedVersion="8" minRefreshableVersion="3" recordCount="15" xr:uid="{445FF142-E22D-4435-9B42-6D08FB10AF06}">
  <cacheSource type="worksheet">
    <worksheetSource ref="A1:H16" sheet="1"/>
  </cacheSource>
  <cacheFields count="8">
    <cacheField name="Order ID" numFmtId="1">
      <sharedItems containsSemiMixedTypes="0" containsString="0" containsNumber="1" containsInteger="1" minValue="1001" maxValue="1015"/>
    </cacheField>
    <cacheField name="Order Date" numFmtId="14">
      <sharedItems containsSemiMixedTypes="0" containsNonDate="0" containsDate="1" containsString="0" minDate="2025-01-15T00:00:00" maxDate="2026-07-13T00:00:00"/>
    </cacheField>
    <cacheField name="Month" numFmtId="1">
      <sharedItems containsSemiMixedTypes="0" containsString="0" containsNumber="1" containsInteger="1" minValue="1" maxValue="12" count="10">
        <n v="1"/>
        <n v="2"/>
        <n v="3"/>
        <n v="5"/>
        <n v="6"/>
        <n v="8"/>
        <n v="11"/>
        <n v="12"/>
        <n v="4"/>
        <n v="7"/>
      </sharedItems>
    </cacheField>
    <cacheField name="Day" numFmtId="1">
      <sharedItems containsSemiMixedTypes="0" containsString="0" containsNumber="1" containsInteger="1" minValue="2" maxValue="30"/>
    </cacheField>
    <cacheField name="Year" numFmtId="1">
      <sharedItems containsSemiMixedTypes="0" containsString="0" containsNumber="1" containsInteger="1" minValue="2025" maxValue="2026" count="2">
        <n v="2025"/>
        <n v="2026"/>
      </sharedItems>
    </cacheField>
    <cacheField name="Amount" numFmtId="164">
      <sharedItems containsSemiMixedTypes="0" containsString="0" containsNumber="1" containsInteger="1" minValue="290" maxValue="1200"/>
    </cacheField>
    <cacheField name="City" numFmtId="0">
      <sharedItems/>
    </cacheField>
    <cacheField name="Restauran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b.polackal" refreshedDate="46221.936888657408" createdVersion="8" refreshedVersion="8" minRefreshableVersion="3" recordCount="15" xr:uid="{85EABCB5-AD7B-43A1-B5BF-9A6F37804960}">
  <cacheSource type="worksheet">
    <worksheetSource ref="A1:H16" sheet="2"/>
  </cacheSource>
  <cacheFields count="11">
    <cacheField name="Order ID" numFmtId="1">
      <sharedItems containsSemiMixedTypes="0" containsString="0" containsNumber="1" containsInteger="1" minValue="1001" maxValue="1015"/>
    </cacheField>
    <cacheField name="Order Date" numFmtId="14">
      <sharedItems containsSemiMixedTypes="0" containsNonDate="0" containsDate="1" containsString="0" minDate="2025-01-15T00:00:00" maxDate="2026-07-13T00:00:00" count="15">
        <d v="2025-01-15T00:00:00"/>
        <d v="2025-02-18T00:00:00"/>
        <d v="2025-03-05T00:00:00"/>
        <d v="2025-05-12T00:00:00"/>
        <d v="2025-06-22T00:00:00"/>
        <d v="2025-08-14T00:00:00"/>
        <d v="2025-11-02T00:00:00"/>
        <d v="2025-12-25T00:00:00"/>
        <d v="2026-01-10T00:00:00"/>
        <d v="2026-02-14T00:00:00"/>
        <d v="2026-03-20T00:00:00"/>
        <d v="2026-04-05T00:00:00"/>
        <d v="2026-05-18T00:00:00"/>
        <d v="2026-06-30T00:00:00"/>
        <d v="2026-07-12T00:00:00"/>
      </sharedItems>
      <fieldGroup par="10"/>
    </cacheField>
    <cacheField name="Month" numFmtId="1">
      <sharedItems containsSemiMixedTypes="0" containsString="0" containsNumber="1" containsInteger="1" minValue="1" maxValue="12" count="10">
        <n v="1"/>
        <n v="2"/>
        <n v="3"/>
        <n v="5"/>
        <n v="6"/>
        <n v="8"/>
        <n v="11"/>
        <n v="12"/>
        <n v="4"/>
        <n v="7"/>
      </sharedItems>
    </cacheField>
    <cacheField name="Day" numFmtId="1">
      <sharedItems containsSemiMixedTypes="0" containsString="0" containsNumber="1" containsInteger="1" minValue="2" maxValue="30"/>
    </cacheField>
    <cacheField name="Year" numFmtId="1">
      <sharedItems containsSemiMixedTypes="0" containsString="0" containsNumber="1" containsInteger="1" minValue="2025" maxValue="2026" count="2">
        <n v="2025"/>
        <n v="2026"/>
      </sharedItems>
    </cacheField>
    <cacheField name="Amount" numFmtId="164">
      <sharedItems containsSemiMixedTypes="0" containsString="0" containsNumber="1" containsInteger="1" minValue="290" maxValue="1200"/>
    </cacheField>
    <cacheField name="City" numFmtId="0">
      <sharedItems count="3">
        <s v="Ahmedabad"/>
        <s v="Mumbai"/>
        <s v="Delhi"/>
      </sharedItems>
    </cacheField>
    <cacheField name="Restaurant" numFmtId="0">
      <sharedItems/>
    </cacheField>
    <cacheField name="Months (Order Date)" numFmtId="0" databaseField="0">
      <fieldGroup base="1">
        <rangePr groupBy="months" startDate="2025-01-15T00:00:00" endDate="2026-07-13T00:00:00"/>
        <groupItems count="14">
          <s v="&lt;1/15/2025"/>
          <s v="Jan"/>
          <s v="Feb"/>
          <s v="Mar"/>
          <s v="Apr"/>
          <s v="May"/>
          <s v="Jun"/>
          <s v="Jul"/>
          <s v="Aug"/>
          <s v="Sep"/>
          <s v="Oct"/>
          <s v="Nov"/>
          <s v="Dec"/>
          <s v="&gt;7/13/2026"/>
        </groupItems>
      </fieldGroup>
    </cacheField>
    <cacheField name="Quarters (Order Date)" numFmtId="0" databaseField="0">
      <fieldGroup base="1">
        <rangePr groupBy="quarters" startDate="2025-01-15T00:00:00" endDate="2026-07-13T00:00:00"/>
        <groupItems count="6">
          <s v="&lt;1/15/2025"/>
          <s v="Qtr1"/>
          <s v="Qtr2"/>
          <s v="Qtr3"/>
          <s v="Qtr4"/>
          <s v="&gt;7/13/2026"/>
        </groupItems>
      </fieldGroup>
    </cacheField>
    <cacheField name="Years (Order Date)" numFmtId="0" databaseField="0">
      <fieldGroup base="1">
        <rangePr groupBy="years" startDate="2025-01-15T00:00:00" endDate="2026-07-13T00:00:00"/>
        <groupItems count="4">
          <s v="&lt;1/15/2025"/>
          <s v="2025"/>
          <s v="2026"/>
          <s v="&gt;7/1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n v="15"/>
    <x v="0"/>
    <n v="450"/>
    <x v="0"/>
    <x v="0"/>
  </r>
  <r>
    <n v="1002"/>
    <x v="1"/>
    <x v="1"/>
    <n v="18"/>
    <x v="0"/>
    <n v="320"/>
    <x v="1"/>
    <x v="1"/>
  </r>
  <r>
    <n v="1003"/>
    <x v="2"/>
    <x v="2"/>
    <n v="5"/>
    <x v="0"/>
    <n v="600"/>
    <x v="0"/>
    <x v="2"/>
  </r>
  <r>
    <n v="1004"/>
    <x v="3"/>
    <x v="3"/>
    <n v="12"/>
    <x v="0"/>
    <n v="750"/>
    <x v="2"/>
    <x v="0"/>
  </r>
  <r>
    <n v="1005"/>
    <x v="4"/>
    <x v="4"/>
    <n v="22"/>
    <x v="0"/>
    <n v="290"/>
    <x v="0"/>
    <x v="0"/>
  </r>
  <r>
    <n v="1006"/>
    <x v="5"/>
    <x v="5"/>
    <n v="14"/>
    <x v="0"/>
    <n v="890"/>
    <x v="1"/>
    <x v="2"/>
  </r>
  <r>
    <n v="1007"/>
    <x v="6"/>
    <x v="6"/>
    <n v="2"/>
    <x v="0"/>
    <n v="410"/>
    <x v="2"/>
    <x v="1"/>
  </r>
  <r>
    <n v="1008"/>
    <x v="7"/>
    <x v="7"/>
    <n v="25"/>
    <x v="0"/>
    <n v="1200"/>
    <x v="0"/>
    <x v="1"/>
  </r>
  <r>
    <n v="1009"/>
    <x v="8"/>
    <x v="0"/>
    <n v="10"/>
    <x v="1"/>
    <n v="550"/>
    <x v="1"/>
    <x v="0"/>
  </r>
  <r>
    <n v="1010"/>
    <x v="9"/>
    <x v="1"/>
    <n v="14"/>
    <x v="1"/>
    <n v="620"/>
    <x v="0"/>
    <x v="0"/>
  </r>
  <r>
    <n v="1011"/>
    <x v="10"/>
    <x v="2"/>
    <n v="20"/>
    <x v="1"/>
    <n v="400"/>
    <x v="2"/>
    <x v="2"/>
  </r>
  <r>
    <n v="1012"/>
    <x v="11"/>
    <x v="8"/>
    <n v="5"/>
    <x v="1"/>
    <n v="950"/>
    <x v="0"/>
    <x v="1"/>
  </r>
  <r>
    <n v="1013"/>
    <x v="12"/>
    <x v="3"/>
    <n v="18"/>
    <x v="1"/>
    <n v="310"/>
    <x v="1"/>
    <x v="2"/>
  </r>
  <r>
    <n v="1014"/>
    <x v="13"/>
    <x v="4"/>
    <n v="30"/>
    <x v="1"/>
    <n v="780"/>
    <x v="0"/>
    <x v="0"/>
  </r>
  <r>
    <n v="1015"/>
    <x v="14"/>
    <x v="9"/>
    <n v="12"/>
    <x v="1"/>
    <n v="480"/>
    <x v="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d v="2025-01-15T00:00:00"/>
    <x v="0"/>
    <n v="15"/>
    <x v="0"/>
    <n v="450"/>
    <s v="Ahmedabad"/>
    <s v="Burger King"/>
  </r>
  <r>
    <n v="1002"/>
    <d v="2025-02-18T00:00:00"/>
    <x v="1"/>
    <n v="18"/>
    <x v="0"/>
    <n v="320"/>
    <s v="Mumbai"/>
    <s v="Pizza Hut"/>
  </r>
  <r>
    <n v="1003"/>
    <d v="2025-03-05T00:00:00"/>
    <x v="2"/>
    <n v="5"/>
    <x v="0"/>
    <n v="600"/>
    <s v="Ahmedabad"/>
    <s v="KFC"/>
  </r>
  <r>
    <n v="1004"/>
    <d v="2025-05-12T00:00:00"/>
    <x v="3"/>
    <n v="12"/>
    <x v="0"/>
    <n v="750"/>
    <s v="Delhi"/>
    <s v="Burger King"/>
  </r>
  <r>
    <n v="1005"/>
    <d v="2025-06-22T00:00:00"/>
    <x v="4"/>
    <n v="22"/>
    <x v="0"/>
    <n v="290"/>
    <s v="Ahmedabad"/>
    <s v="Burger King"/>
  </r>
  <r>
    <n v="1006"/>
    <d v="2025-08-14T00:00:00"/>
    <x v="5"/>
    <n v="14"/>
    <x v="0"/>
    <n v="890"/>
    <s v="Mumbai"/>
    <s v="KFC"/>
  </r>
  <r>
    <n v="1007"/>
    <d v="2025-11-02T00:00:00"/>
    <x v="6"/>
    <n v="2"/>
    <x v="0"/>
    <n v="410"/>
    <s v="Delhi"/>
    <s v="Pizza Hut"/>
  </r>
  <r>
    <n v="1008"/>
    <d v="2025-12-25T00:00:00"/>
    <x v="7"/>
    <n v="25"/>
    <x v="0"/>
    <n v="1200"/>
    <s v="Ahmedabad"/>
    <s v="Pizza Hut"/>
  </r>
  <r>
    <n v="1009"/>
    <d v="2026-01-10T00:00:00"/>
    <x v="0"/>
    <n v="10"/>
    <x v="1"/>
    <n v="550"/>
    <s v="Mumbai"/>
    <s v="Burger King"/>
  </r>
  <r>
    <n v="1010"/>
    <d v="2026-02-14T00:00:00"/>
    <x v="1"/>
    <n v="14"/>
    <x v="1"/>
    <n v="620"/>
    <s v="Ahmedabad"/>
    <s v="Burger King"/>
  </r>
  <r>
    <n v="1011"/>
    <d v="2026-03-20T00:00:00"/>
    <x v="2"/>
    <n v="20"/>
    <x v="1"/>
    <n v="400"/>
    <s v="Delhi"/>
    <s v="KFC"/>
  </r>
  <r>
    <n v="1012"/>
    <d v="2026-04-05T00:00:00"/>
    <x v="8"/>
    <n v="5"/>
    <x v="1"/>
    <n v="950"/>
    <s v="Ahmedabad"/>
    <s v="Pizza Hut"/>
  </r>
  <r>
    <n v="1013"/>
    <d v="2026-05-18T00:00:00"/>
    <x v="3"/>
    <n v="18"/>
    <x v="1"/>
    <n v="310"/>
    <s v="Mumbai"/>
    <s v="KFC"/>
  </r>
  <r>
    <n v="1014"/>
    <d v="2026-06-30T00:00:00"/>
    <x v="4"/>
    <n v="30"/>
    <x v="1"/>
    <n v="780"/>
    <s v="Ahmedabad"/>
    <s v="Burger King"/>
  </r>
  <r>
    <n v="1015"/>
    <d v="2026-07-12T00:00:00"/>
    <x v="9"/>
    <n v="12"/>
    <x v="1"/>
    <n v="480"/>
    <s v="Delhi"/>
    <s v="Pizza Hu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n v="15"/>
    <x v="0"/>
    <n v="450"/>
    <x v="0"/>
    <s v="Burger King"/>
  </r>
  <r>
    <n v="1002"/>
    <x v="1"/>
    <x v="1"/>
    <n v="18"/>
    <x v="0"/>
    <n v="320"/>
    <x v="1"/>
    <s v="Pizza Hut"/>
  </r>
  <r>
    <n v="1003"/>
    <x v="2"/>
    <x v="2"/>
    <n v="5"/>
    <x v="0"/>
    <n v="600"/>
    <x v="0"/>
    <s v="KFC"/>
  </r>
  <r>
    <n v="1004"/>
    <x v="3"/>
    <x v="3"/>
    <n v="12"/>
    <x v="0"/>
    <n v="750"/>
    <x v="2"/>
    <s v="Burger King"/>
  </r>
  <r>
    <n v="1005"/>
    <x v="4"/>
    <x v="4"/>
    <n v="22"/>
    <x v="0"/>
    <n v="290"/>
    <x v="0"/>
    <s v="Burger King"/>
  </r>
  <r>
    <n v="1006"/>
    <x v="5"/>
    <x v="5"/>
    <n v="14"/>
    <x v="0"/>
    <n v="890"/>
    <x v="1"/>
    <s v="KFC"/>
  </r>
  <r>
    <n v="1007"/>
    <x v="6"/>
    <x v="6"/>
    <n v="2"/>
    <x v="0"/>
    <n v="410"/>
    <x v="2"/>
    <s v="Pizza Hut"/>
  </r>
  <r>
    <n v="1008"/>
    <x v="7"/>
    <x v="7"/>
    <n v="25"/>
    <x v="0"/>
    <n v="1200"/>
    <x v="0"/>
    <s v="Pizza Hut"/>
  </r>
  <r>
    <n v="1009"/>
    <x v="8"/>
    <x v="0"/>
    <n v="10"/>
    <x v="1"/>
    <n v="550"/>
    <x v="1"/>
    <s v="Burger King"/>
  </r>
  <r>
    <n v="1010"/>
    <x v="9"/>
    <x v="1"/>
    <n v="14"/>
    <x v="1"/>
    <n v="620"/>
    <x v="0"/>
    <s v="Burger King"/>
  </r>
  <r>
    <n v="1011"/>
    <x v="10"/>
    <x v="2"/>
    <n v="20"/>
    <x v="1"/>
    <n v="400"/>
    <x v="2"/>
    <s v="KFC"/>
  </r>
  <r>
    <n v="1012"/>
    <x v="11"/>
    <x v="8"/>
    <n v="5"/>
    <x v="1"/>
    <n v="950"/>
    <x v="0"/>
    <s v="Pizza Hut"/>
  </r>
  <r>
    <n v="1013"/>
    <x v="12"/>
    <x v="3"/>
    <n v="18"/>
    <x v="1"/>
    <n v="310"/>
    <x v="1"/>
    <s v="KFC"/>
  </r>
  <r>
    <n v="1014"/>
    <x v="13"/>
    <x v="4"/>
    <n v="30"/>
    <x v="1"/>
    <n v="780"/>
    <x v="0"/>
    <s v="Burger King"/>
  </r>
  <r>
    <n v="1015"/>
    <x v="14"/>
    <x v="9"/>
    <n v="12"/>
    <x v="1"/>
    <n v="480"/>
    <x v="2"/>
    <s v="Pizza Hu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47AD39-511D-427C-829C-B8C0337D8D6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L3:O15" firstHeaderRow="1" firstDataRow="2" firstDataCol="1"/>
  <pivotFields count="8">
    <pivotField numFmtId="1" showAll="0"/>
    <pivotField numFmtId="14" showAll="0"/>
    <pivotField axis="axisRow" numFmtId="1" showAll="0">
      <items count="11">
        <item x="0"/>
        <item x="1"/>
        <item x="2"/>
        <item x="8"/>
        <item x="3"/>
        <item x="4"/>
        <item x="9"/>
        <item x="5"/>
        <item x="6"/>
        <item x="7"/>
        <item t="default"/>
      </items>
    </pivotField>
    <pivotField numFmtId="1" showAll="0"/>
    <pivotField axis="axisCol" numFmtId="1" showAll="0">
      <items count="3">
        <item x="0"/>
        <item x="1"/>
        <item t="default"/>
      </items>
    </pivotField>
    <pivotField dataField="1" numFmtId="164" showAll="0"/>
    <pivotField showAll="0"/>
    <pivotField showAll="0"/>
  </pivotFields>
  <rowFields count="1">
    <field x="2"/>
  </rowFields>
  <rowItems count="11">
    <i>
      <x/>
    </i>
    <i>
      <x v="1"/>
    </i>
    <i>
      <x v="2"/>
    </i>
    <i>
      <x v="3"/>
    </i>
    <i>
      <x v="4"/>
    </i>
    <i>
      <x v="5"/>
    </i>
    <i>
      <x v="6"/>
    </i>
    <i>
      <x v="7"/>
    </i>
    <i>
      <x v="8"/>
    </i>
    <i>
      <x v="9"/>
    </i>
    <i t="grand">
      <x/>
    </i>
  </rowItems>
  <colFields count="1">
    <field x="4"/>
  </colFields>
  <colItems count="3">
    <i>
      <x/>
    </i>
    <i>
      <x v="1"/>
    </i>
    <i t="grand">
      <x/>
    </i>
  </colItems>
  <dataFields count="1">
    <dataField name="Sum of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1E6296-FB98-45D8-9DD8-0DF632FA083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L3:M8" firstHeaderRow="1" firstDataRow="1" firstDataCol="1"/>
  <pivotFields count="11">
    <pivotField numFmtId="1" showAll="0"/>
    <pivotField axis="axisRow" numFmtId="14" showAll="0">
      <items count="16">
        <item x="0"/>
        <item x="1"/>
        <item x="2"/>
        <item x="3"/>
        <item x="4"/>
        <item x="5"/>
        <item x="6"/>
        <item x="7"/>
        <item x="8"/>
        <item x="9"/>
        <item x="10"/>
        <item x="11"/>
        <item x="12"/>
        <item x="13"/>
        <item x="14"/>
        <item t="default"/>
      </items>
    </pivotField>
    <pivotField numFmtId="1" showAll="0">
      <items count="11">
        <item sd="0" x="0"/>
        <item sd="0" x="1"/>
        <item sd="0" x="2"/>
        <item sd="0" x="8"/>
        <item sd="0" x="3"/>
        <item sd="0" x="4"/>
        <item sd="0" x="9"/>
        <item sd="0" x="5"/>
        <item sd="0" x="6"/>
        <item sd="0" x="7"/>
        <item t="default"/>
      </items>
    </pivotField>
    <pivotField numFmtId="1" showAll="0"/>
    <pivotField axis="axisRow" numFmtId="1" showAll="0">
      <items count="3">
        <item h="1" x="0"/>
        <item x="1"/>
        <item t="default"/>
      </items>
    </pivotField>
    <pivotField dataField="1" numFmtId="16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4">
    <field x="4"/>
    <field x="9"/>
    <field x="8"/>
    <field x="1"/>
  </rowFields>
  <rowItems count="5">
    <i>
      <x v="1"/>
    </i>
    <i r="1">
      <x v="1"/>
    </i>
    <i r="1">
      <x v="2"/>
    </i>
    <i r="1">
      <x v="3"/>
    </i>
    <i t="grand">
      <x/>
    </i>
  </rowItems>
  <colItems count="1">
    <i/>
  </colItems>
  <dataFields count="1">
    <dataField name="Sum of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7AB19-86A4-4A3B-A3A9-AAC2B6B9441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Year">
  <location ref="L3:O21" firstHeaderRow="0" firstDataRow="1" firstDataCol="1"/>
  <pivotFields count="10">
    <pivotField dataField="1" showAll="0"/>
    <pivotField axis="axisRow" numFmtId="14" showAll="0">
      <items count="16">
        <item x="0"/>
        <item x="1"/>
        <item x="2"/>
        <item x="3"/>
        <item x="4"/>
        <item x="5"/>
        <item x="6"/>
        <item x="7"/>
        <item x="8"/>
        <item x="9"/>
        <item x="10"/>
        <item x="11"/>
        <item x="12"/>
        <item x="13"/>
        <item x="14"/>
        <item t="default"/>
      </items>
    </pivotField>
    <pivotField axis="axisRow" numFmtId="1" showAll="0">
      <items count="11">
        <item sd="0" x="0"/>
        <item sd="0" x="1"/>
        <item sd="0" x="2"/>
        <item sd="0" x="8"/>
        <item sd="0" x="3"/>
        <item sd="0" x="4"/>
        <item sd="0" x="9"/>
        <item sd="0" x="5"/>
        <item sd="0" x="6"/>
        <item sd="0" x="7"/>
        <item t="default"/>
      </items>
    </pivotField>
    <pivotField numFmtId="1" showAll="0"/>
    <pivotField axis="axisRow" numFmtId="1" showAll="0">
      <items count="3">
        <item x="0"/>
        <item x="1"/>
        <item t="default"/>
      </items>
    </pivotField>
    <pivotField dataField="1" showAll="0"/>
    <pivotField showAll="0">
      <items count="4">
        <item x="0"/>
        <item x="2"/>
        <item x="1"/>
        <item t="default"/>
      </items>
    </pivotField>
    <pivotField showAll="0">
      <items count="4">
        <item x="0"/>
        <item x="2"/>
        <item x="1"/>
        <item t="default"/>
      </items>
    </pivotField>
    <pivotField dragToRow="0" dragToCol="0" dragToPage="0" showAll="0" defaultSubtotal="0"/>
    <pivotField dragToRow="0" dragToCol="0" dragToPage="0" showAll="0" defaultSubtotal="0"/>
  </pivotFields>
  <rowFields count="3">
    <field x="4"/>
    <field x="2"/>
    <field x="1"/>
  </rowFields>
  <rowItems count="18">
    <i>
      <x/>
    </i>
    <i r="1">
      <x/>
    </i>
    <i r="1">
      <x v="1"/>
    </i>
    <i r="1">
      <x v="2"/>
    </i>
    <i r="1">
      <x v="4"/>
    </i>
    <i r="1">
      <x v="5"/>
    </i>
    <i r="1">
      <x v="7"/>
    </i>
    <i r="1">
      <x v="8"/>
    </i>
    <i r="1">
      <x v="9"/>
    </i>
    <i>
      <x v="1"/>
    </i>
    <i r="1">
      <x/>
    </i>
    <i r="1">
      <x v="1"/>
    </i>
    <i r="1">
      <x v="2"/>
    </i>
    <i r="1">
      <x v="3"/>
    </i>
    <i r="1">
      <x v="4"/>
    </i>
    <i r="1">
      <x v="5"/>
    </i>
    <i r="1">
      <x v="6"/>
    </i>
    <i t="grand">
      <x/>
    </i>
  </rowItems>
  <colFields count="1">
    <field x="-2"/>
  </colFields>
  <colItems count="3">
    <i>
      <x/>
    </i>
    <i i="1">
      <x v="1"/>
    </i>
    <i i="2">
      <x v="2"/>
    </i>
  </colItems>
  <dataFields count="3">
    <dataField name="Sum of Amount" fld="5" baseField="0" baseItem="0" numFmtId="164"/>
    <dataField name="Count of Order ID" fld="0" subtotal="count" baseField="1" baseItem="0"/>
    <dataField name="Average Order Value" fld="5" subtotal="average" baseField="4" baseItem="0"/>
  </dataFields>
  <formats count="1">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1D79EF-2C3C-4986-A983-AEBBC52A213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B8" firstHeaderRow="1" firstDataRow="1" firstDataCol="1" rowPageCount="1" colPageCount="1"/>
  <pivotFields count="11">
    <pivotField numFmtId="1" showAll="0"/>
    <pivotField axis="axisRow" numFmtId="14" showAll="0">
      <items count="16">
        <item x="0"/>
        <item x="1"/>
        <item x="2"/>
        <item x="3"/>
        <item x="4"/>
        <item x="5"/>
        <item x="6"/>
        <item x="7"/>
        <item x="8"/>
        <item x="9"/>
        <item x="10"/>
        <item x="11"/>
        <item x="12"/>
        <item x="13"/>
        <item x="14"/>
        <item t="default"/>
      </items>
    </pivotField>
    <pivotField numFmtId="1" showAll="0">
      <items count="11">
        <item sd="0" x="0"/>
        <item sd="0" x="1"/>
        <item sd="0" x="2"/>
        <item sd="0" x="8"/>
        <item sd="0" x="3"/>
        <item sd="0" x="4"/>
        <item sd="0" x="9"/>
        <item sd="0" x="5"/>
        <item sd="0" x="6"/>
        <item sd="0" x="7"/>
        <item t="default"/>
      </items>
    </pivotField>
    <pivotField numFmtId="1" showAll="0"/>
    <pivotField axis="axisRow" numFmtId="1" showAll="0">
      <items count="3">
        <item h="1" x="0"/>
        <item x="1"/>
        <item t="default"/>
      </items>
    </pivotField>
    <pivotField dataField="1" numFmtId="164" showAll="0"/>
    <pivotField showAll="0">
      <items count="4">
        <item x="0"/>
        <item x="2"/>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Page" showAll="0">
      <items count="7">
        <item sd="0" x="0"/>
        <item sd="0" x="1"/>
        <item sd="0" x="2"/>
        <item sd="0" x="3"/>
        <item sd="0" x="4"/>
        <item sd="0" x="5"/>
        <item t="default"/>
      </items>
    </pivotField>
    <pivotField showAll="0">
      <items count="5">
        <item sd="0" x="0"/>
        <item sd="0" x="1"/>
        <item sd="0" x="2"/>
        <item sd="0" x="3"/>
        <item t="default"/>
      </items>
    </pivotField>
  </pivotFields>
  <rowFields count="3">
    <field x="4"/>
    <field x="8"/>
    <field x="1"/>
  </rowFields>
  <rowItems count="5">
    <i>
      <x v="1"/>
    </i>
    <i r="1">
      <x v="4"/>
    </i>
    <i r="1">
      <x v="5"/>
    </i>
    <i r="1">
      <x v="6"/>
    </i>
    <i t="grand">
      <x/>
    </i>
  </rowItems>
  <colItems count="1">
    <i/>
  </colItems>
  <pageFields count="1">
    <pageField fld="9" item="2" hier="-1"/>
  </pageFields>
  <dataFields count="1">
    <dataField name="Sum of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AC8F9B2-491E-4CBE-9FFE-E07D06022299}" sourceName="City">
  <pivotTables>
    <pivotTable tabId="1" name="PivotTable6"/>
  </pivotTables>
  <data>
    <tabular pivotCacheId="78869272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D732F14E-F4A2-4C98-9116-B48CB781C7CE}" sourceName="Restaurant">
  <pivotTables>
    <pivotTable tabId="1" name="PivotTable6"/>
  </pivotTables>
  <data>
    <tabular pivotCacheId="7886927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56A1D50-4B78-4D2B-820E-71ED6E27A728}" cache="Slicer_City" caption="City" rowHeight="247650"/>
  <slicer name="Restaurant 1" xr10:uid="{3B22A557-34D2-4A0E-921E-976351D3AD61}" cache="Slicer_Restaurant" caption="Restaura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7A0CBF-694C-4197-9939-A4B71BBDB6BA}" name="Table4" displayName="Table4" ref="A3:H6" totalsRowShown="0">
  <autoFilter ref="A3:H6" xr:uid="{A97A0CBF-694C-4197-9939-A4B71BBDB6BA}"/>
  <tableColumns count="8">
    <tableColumn id="1" xr3:uid="{E5B22D9F-3867-4663-9136-A4ABD8821DCF}" name="Order ID"/>
    <tableColumn id="2" xr3:uid="{BAAB0825-F414-4C2F-A84C-D0B6C4622515}" name="Order Date" dataDxfId="8"/>
    <tableColumn id="3" xr3:uid="{FF07A005-4B41-4633-A770-EBD3014E2F76}" name="Month"/>
    <tableColumn id="4" xr3:uid="{CBF37F6D-B546-4516-9AC0-47253375B390}" name="Day"/>
    <tableColumn id="5" xr3:uid="{FC6B53E5-EBCE-4BC1-922A-CECA403CBE8D}" name="Year"/>
    <tableColumn id="6" xr3:uid="{29BEC7B1-89F3-46DA-BBED-058C8B6EFA1B}" name="Amount" dataDxfId="0"/>
    <tableColumn id="7" xr3:uid="{292ED8AC-9298-4C86-B675-C8915CEF91E8}" name="City"/>
    <tableColumn id="8" xr3:uid="{65EEC9E3-B808-4F46-875A-B0C5EADCAC45}" name="Restaura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51CC-089F-4EE5-BA86-F736A2ED48AA}">
  <dimension ref="A1:O16"/>
  <sheetViews>
    <sheetView tabSelected="1" workbookViewId="0">
      <selection activeCell="L4" sqref="L4"/>
    </sheetView>
  </sheetViews>
  <sheetFormatPr defaultRowHeight="14.4" x14ac:dyDescent="0.3"/>
  <cols>
    <col min="1" max="1" width="7.88671875" bestFit="1" customWidth="1"/>
    <col min="2" max="2" width="10.33203125" bestFit="1" customWidth="1"/>
    <col min="3" max="3" width="6.109375" bestFit="1" customWidth="1"/>
    <col min="4" max="4" width="4.109375" bestFit="1" customWidth="1"/>
    <col min="5" max="5" width="5" bestFit="1" customWidth="1"/>
    <col min="6" max="6" width="7.44140625" bestFit="1" customWidth="1"/>
    <col min="7" max="7" width="10.6640625" bestFit="1" customWidth="1"/>
    <col min="8" max="8" width="10" bestFit="1" customWidth="1"/>
    <col min="12" max="12" width="13.5546875" bestFit="1" customWidth="1"/>
    <col min="13" max="13" width="15.5546875" bestFit="1" customWidth="1"/>
    <col min="14" max="14" width="6.88671875" bestFit="1" customWidth="1"/>
    <col min="15" max="15" width="10.5546875" bestFit="1" customWidth="1"/>
  </cols>
  <sheetData>
    <row r="1" spans="1:15" x14ac:dyDescent="0.3">
      <c r="A1" s="4" t="s">
        <v>0</v>
      </c>
      <c r="B1" s="4" t="s">
        <v>1</v>
      </c>
      <c r="C1" s="4" t="s">
        <v>14</v>
      </c>
      <c r="D1" s="4" t="s">
        <v>15</v>
      </c>
      <c r="E1" s="4" t="s">
        <v>16</v>
      </c>
      <c r="F1" s="7" t="s">
        <v>2</v>
      </c>
      <c r="G1" s="4" t="s">
        <v>3</v>
      </c>
      <c r="H1" s="4" t="s">
        <v>4</v>
      </c>
    </row>
    <row r="2" spans="1:15" x14ac:dyDescent="0.3">
      <c r="A2" s="12">
        <v>1001</v>
      </c>
      <c r="B2" s="3">
        <v>45672</v>
      </c>
      <c r="C2" s="12">
        <f>MONTH(B2)</f>
        <v>1</v>
      </c>
      <c r="D2" s="12">
        <f>DAY(B2)</f>
        <v>15</v>
      </c>
      <c r="E2" s="12">
        <f>YEAR(B2)</f>
        <v>2025</v>
      </c>
      <c r="F2" s="8">
        <v>450</v>
      </c>
      <c r="G2" s="2" t="s">
        <v>5</v>
      </c>
      <c r="H2" s="2" t="s">
        <v>6</v>
      </c>
    </row>
    <row r="3" spans="1:15" x14ac:dyDescent="0.3">
      <c r="A3" s="12">
        <v>1002</v>
      </c>
      <c r="B3" s="3">
        <v>45706</v>
      </c>
      <c r="C3" s="12">
        <f t="shared" ref="C3:C16" si="0">MONTH(B3)</f>
        <v>2</v>
      </c>
      <c r="D3" s="12">
        <f t="shared" ref="D3:D16" si="1">DAY(B3)</f>
        <v>18</v>
      </c>
      <c r="E3" s="12">
        <f t="shared" ref="E3:E16" si="2">YEAR(B3)</f>
        <v>2025</v>
      </c>
      <c r="F3" s="8">
        <v>320</v>
      </c>
      <c r="G3" s="2" t="s">
        <v>7</v>
      </c>
      <c r="H3" s="2" t="s">
        <v>8</v>
      </c>
      <c r="L3" s="5" t="s">
        <v>12</v>
      </c>
      <c r="M3" s="5" t="s">
        <v>24</v>
      </c>
    </row>
    <row r="4" spans="1:15" x14ac:dyDescent="0.3">
      <c r="A4" s="12">
        <v>1003</v>
      </c>
      <c r="B4" s="3">
        <v>45721</v>
      </c>
      <c r="C4" s="12">
        <f t="shared" si="0"/>
        <v>3</v>
      </c>
      <c r="D4" s="12">
        <f t="shared" si="1"/>
        <v>5</v>
      </c>
      <c r="E4" s="12">
        <f t="shared" si="2"/>
        <v>2025</v>
      </c>
      <c r="F4" s="8">
        <v>600</v>
      </c>
      <c r="G4" s="2" t="s">
        <v>5</v>
      </c>
      <c r="H4" s="2" t="s">
        <v>9</v>
      </c>
      <c r="L4" s="5" t="s">
        <v>14</v>
      </c>
      <c r="M4" s="13">
        <v>2025</v>
      </c>
      <c r="N4" s="13">
        <v>2026</v>
      </c>
      <c r="O4" s="13" t="s">
        <v>11</v>
      </c>
    </row>
    <row r="5" spans="1:15" x14ac:dyDescent="0.3">
      <c r="A5" s="12">
        <v>1004</v>
      </c>
      <c r="B5" s="3">
        <v>45789</v>
      </c>
      <c r="C5" s="12">
        <f t="shared" si="0"/>
        <v>5</v>
      </c>
      <c r="D5" s="12">
        <f t="shared" si="1"/>
        <v>12</v>
      </c>
      <c r="E5" s="12">
        <f t="shared" si="2"/>
        <v>2025</v>
      </c>
      <c r="F5" s="8">
        <v>750</v>
      </c>
      <c r="G5" s="2" t="s">
        <v>10</v>
      </c>
      <c r="H5" s="2" t="s">
        <v>6</v>
      </c>
      <c r="L5" s="15">
        <v>1</v>
      </c>
      <c r="M5" s="9">
        <v>450</v>
      </c>
      <c r="N5" s="9">
        <v>550</v>
      </c>
      <c r="O5" s="9">
        <v>1000</v>
      </c>
    </row>
    <row r="6" spans="1:15" x14ac:dyDescent="0.3">
      <c r="A6" s="12">
        <v>1005</v>
      </c>
      <c r="B6" s="3">
        <v>45830</v>
      </c>
      <c r="C6" s="12">
        <f t="shared" si="0"/>
        <v>6</v>
      </c>
      <c r="D6" s="12">
        <f t="shared" si="1"/>
        <v>22</v>
      </c>
      <c r="E6" s="12">
        <f t="shared" si="2"/>
        <v>2025</v>
      </c>
      <c r="F6" s="8">
        <v>290</v>
      </c>
      <c r="G6" s="2" t="s">
        <v>5</v>
      </c>
      <c r="H6" s="2" t="s">
        <v>6</v>
      </c>
      <c r="L6" s="15">
        <v>2</v>
      </c>
      <c r="M6" s="9">
        <v>320</v>
      </c>
      <c r="N6" s="9">
        <v>620</v>
      </c>
      <c r="O6" s="9">
        <v>940</v>
      </c>
    </row>
    <row r="7" spans="1:15" x14ac:dyDescent="0.3">
      <c r="A7" s="12">
        <v>1006</v>
      </c>
      <c r="B7" s="3">
        <v>45883</v>
      </c>
      <c r="C7" s="12">
        <f t="shared" si="0"/>
        <v>8</v>
      </c>
      <c r="D7" s="12">
        <f t="shared" si="1"/>
        <v>14</v>
      </c>
      <c r="E7" s="12">
        <f t="shared" si="2"/>
        <v>2025</v>
      </c>
      <c r="F7" s="8">
        <v>890</v>
      </c>
      <c r="G7" s="2" t="s">
        <v>7</v>
      </c>
      <c r="H7" s="2" t="s">
        <v>9</v>
      </c>
      <c r="L7" s="15">
        <v>3</v>
      </c>
      <c r="M7" s="9">
        <v>600</v>
      </c>
      <c r="N7" s="9">
        <v>400</v>
      </c>
      <c r="O7" s="9">
        <v>1000</v>
      </c>
    </row>
    <row r="8" spans="1:15" x14ac:dyDescent="0.3">
      <c r="A8" s="12">
        <v>1007</v>
      </c>
      <c r="B8" s="3">
        <v>45963</v>
      </c>
      <c r="C8" s="12">
        <f t="shared" si="0"/>
        <v>11</v>
      </c>
      <c r="D8" s="12">
        <f t="shared" si="1"/>
        <v>2</v>
      </c>
      <c r="E8" s="12">
        <f t="shared" si="2"/>
        <v>2025</v>
      </c>
      <c r="F8" s="8">
        <v>410</v>
      </c>
      <c r="G8" s="2" t="s">
        <v>10</v>
      </c>
      <c r="H8" s="2" t="s">
        <v>8</v>
      </c>
      <c r="L8" s="15">
        <v>4</v>
      </c>
      <c r="M8" s="9"/>
      <c r="N8" s="9">
        <v>950</v>
      </c>
      <c r="O8" s="9">
        <v>950</v>
      </c>
    </row>
    <row r="9" spans="1:15" x14ac:dyDescent="0.3">
      <c r="A9" s="12">
        <v>1008</v>
      </c>
      <c r="B9" s="3">
        <v>46016</v>
      </c>
      <c r="C9" s="12">
        <f t="shared" si="0"/>
        <v>12</v>
      </c>
      <c r="D9" s="12">
        <f t="shared" si="1"/>
        <v>25</v>
      </c>
      <c r="E9" s="12">
        <f t="shared" si="2"/>
        <v>2025</v>
      </c>
      <c r="F9" s="8">
        <v>1200</v>
      </c>
      <c r="G9" s="2" t="s">
        <v>5</v>
      </c>
      <c r="H9" s="2" t="s">
        <v>8</v>
      </c>
      <c r="L9" s="15">
        <v>5</v>
      </c>
      <c r="M9" s="9">
        <v>750</v>
      </c>
      <c r="N9" s="9">
        <v>310</v>
      </c>
      <c r="O9" s="9">
        <v>1060</v>
      </c>
    </row>
    <row r="10" spans="1:15" x14ac:dyDescent="0.3">
      <c r="A10" s="12">
        <v>1009</v>
      </c>
      <c r="B10" s="3">
        <v>46032</v>
      </c>
      <c r="C10" s="12">
        <f t="shared" si="0"/>
        <v>1</v>
      </c>
      <c r="D10" s="12">
        <f t="shared" si="1"/>
        <v>10</v>
      </c>
      <c r="E10" s="12">
        <f t="shared" si="2"/>
        <v>2026</v>
      </c>
      <c r="F10" s="8">
        <v>550</v>
      </c>
      <c r="G10" s="2" t="s">
        <v>7</v>
      </c>
      <c r="H10" s="2" t="s">
        <v>6</v>
      </c>
      <c r="L10" s="15">
        <v>6</v>
      </c>
      <c r="M10" s="9">
        <v>290</v>
      </c>
      <c r="N10" s="9">
        <v>780</v>
      </c>
      <c r="O10" s="9">
        <v>1070</v>
      </c>
    </row>
    <row r="11" spans="1:15" x14ac:dyDescent="0.3">
      <c r="A11" s="12">
        <v>1010</v>
      </c>
      <c r="B11" s="3">
        <v>46067</v>
      </c>
      <c r="C11" s="12">
        <f t="shared" si="0"/>
        <v>2</v>
      </c>
      <c r="D11" s="12">
        <f t="shared" si="1"/>
        <v>14</v>
      </c>
      <c r="E11" s="12">
        <f t="shared" si="2"/>
        <v>2026</v>
      </c>
      <c r="F11" s="8">
        <v>620</v>
      </c>
      <c r="G11" s="2" t="s">
        <v>5</v>
      </c>
      <c r="H11" s="2" t="s">
        <v>6</v>
      </c>
      <c r="L11" s="15">
        <v>7</v>
      </c>
      <c r="M11" s="9"/>
      <c r="N11" s="9">
        <v>480</v>
      </c>
      <c r="O11" s="9">
        <v>480</v>
      </c>
    </row>
    <row r="12" spans="1:15" x14ac:dyDescent="0.3">
      <c r="A12" s="12">
        <v>1011</v>
      </c>
      <c r="B12" s="3">
        <v>46101</v>
      </c>
      <c r="C12" s="12">
        <f t="shared" si="0"/>
        <v>3</v>
      </c>
      <c r="D12" s="12">
        <f t="shared" si="1"/>
        <v>20</v>
      </c>
      <c r="E12" s="12">
        <f t="shared" si="2"/>
        <v>2026</v>
      </c>
      <c r="F12" s="8">
        <v>400</v>
      </c>
      <c r="G12" s="2" t="s">
        <v>10</v>
      </c>
      <c r="H12" s="2" t="s">
        <v>9</v>
      </c>
      <c r="L12" s="15">
        <v>8</v>
      </c>
      <c r="M12" s="9">
        <v>890</v>
      </c>
      <c r="N12" s="9"/>
      <c r="O12" s="9">
        <v>890</v>
      </c>
    </row>
    <row r="13" spans="1:15" x14ac:dyDescent="0.3">
      <c r="A13" s="12">
        <v>1012</v>
      </c>
      <c r="B13" s="3">
        <v>46117</v>
      </c>
      <c r="C13" s="12">
        <f t="shared" si="0"/>
        <v>4</v>
      </c>
      <c r="D13" s="12">
        <f t="shared" si="1"/>
        <v>5</v>
      </c>
      <c r="E13" s="12">
        <f t="shared" si="2"/>
        <v>2026</v>
      </c>
      <c r="F13" s="8">
        <v>950</v>
      </c>
      <c r="G13" s="2" t="s">
        <v>5</v>
      </c>
      <c r="H13" s="2" t="s">
        <v>8</v>
      </c>
      <c r="L13" s="15">
        <v>11</v>
      </c>
      <c r="M13" s="9">
        <v>410</v>
      </c>
      <c r="N13" s="9"/>
      <c r="O13" s="9">
        <v>410</v>
      </c>
    </row>
    <row r="14" spans="1:15" x14ac:dyDescent="0.3">
      <c r="A14" s="12">
        <v>1013</v>
      </c>
      <c r="B14" s="3">
        <v>46160</v>
      </c>
      <c r="C14" s="12">
        <f t="shared" si="0"/>
        <v>5</v>
      </c>
      <c r="D14" s="12">
        <f t="shared" si="1"/>
        <v>18</v>
      </c>
      <c r="E14" s="12">
        <f t="shared" si="2"/>
        <v>2026</v>
      </c>
      <c r="F14" s="8">
        <v>310</v>
      </c>
      <c r="G14" s="2" t="s">
        <v>7</v>
      </c>
      <c r="H14" s="2" t="s">
        <v>9</v>
      </c>
      <c r="L14" s="15">
        <v>12</v>
      </c>
      <c r="M14" s="9">
        <v>1200</v>
      </c>
      <c r="N14" s="9"/>
      <c r="O14" s="9">
        <v>1200</v>
      </c>
    </row>
    <row r="15" spans="1:15" x14ac:dyDescent="0.3">
      <c r="A15" s="12">
        <v>1014</v>
      </c>
      <c r="B15" s="3">
        <v>46203</v>
      </c>
      <c r="C15" s="12">
        <f t="shared" si="0"/>
        <v>6</v>
      </c>
      <c r="D15" s="12">
        <f t="shared" si="1"/>
        <v>30</v>
      </c>
      <c r="E15" s="12">
        <f t="shared" si="2"/>
        <v>2026</v>
      </c>
      <c r="F15" s="8">
        <v>780</v>
      </c>
      <c r="G15" s="2" t="s">
        <v>5</v>
      </c>
      <c r="H15" s="2" t="s">
        <v>6</v>
      </c>
      <c r="L15" s="15" t="s">
        <v>11</v>
      </c>
      <c r="M15" s="9">
        <v>4910</v>
      </c>
      <c r="N15" s="9">
        <v>4090</v>
      </c>
      <c r="O15" s="9">
        <v>9000</v>
      </c>
    </row>
    <row r="16" spans="1:15" x14ac:dyDescent="0.3">
      <c r="A16" s="12">
        <v>1015</v>
      </c>
      <c r="B16" s="3">
        <v>46215</v>
      </c>
      <c r="C16" s="12">
        <f t="shared" si="0"/>
        <v>7</v>
      </c>
      <c r="D16" s="12">
        <f t="shared" si="1"/>
        <v>12</v>
      </c>
      <c r="E16" s="12">
        <f t="shared" si="2"/>
        <v>2026</v>
      </c>
      <c r="F16" s="8">
        <v>480</v>
      </c>
      <c r="G16" s="2" t="s">
        <v>10</v>
      </c>
      <c r="H16" s="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FCB6-FDDB-4CDA-B55B-1B5BCF365B7F}">
  <dimension ref="A1:M16"/>
  <sheetViews>
    <sheetView workbookViewId="0">
      <selection activeCell="G23" sqref="G23"/>
    </sheetView>
  </sheetViews>
  <sheetFormatPr defaultRowHeight="14.4" x14ac:dyDescent="0.3"/>
  <cols>
    <col min="1" max="1" width="7.88671875" bestFit="1" customWidth="1"/>
    <col min="2" max="2" width="10.33203125" bestFit="1" customWidth="1"/>
    <col min="3" max="3" width="6.109375" bestFit="1" customWidth="1"/>
    <col min="4" max="4" width="4.109375" bestFit="1" customWidth="1"/>
    <col min="5" max="5" width="5" bestFit="1" customWidth="1"/>
    <col min="6" max="6" width="7.44140625" bestFit="1" customWidth="1"/>
    <col min="7" max="7" width="10.6640625" bestFit="1" customWidth="1"/>
    <col min="8" max="8" width="10" bestFit="1" customWidth="1"/>
    <col min="12" max="12" width="10.5546875" bestFit="1" customWidth="1"/>
    <col min="13" max="13" width="13.5546875" bestFit="1" customWidth="1"/>
  </cols>
  <sheetData>
    <row r="1" spans="1:13" x14ac:dyDescent="0.3">
      <c r="A1" s="4" t="s">
        <v>0</v>
      </c>
      <c r="B1" s="4" t="s">
        <v>1</v>
      </c>
      <c r="C1" s="4" t="s">
        <v>14</v>
      </c>
      <c r="D1" s="4" t="s">
        <v>15</v>
      </c>
      <c r="E1" s="4" t="s">
        <v>16</v>
      </c>
      <c r="F1" s="7" t="s">
        <v>2</v>
      </c>
      <c r="G1" s="4" t="s">
        <v>3</v>
      </c>
      <c r="H1" s="4" t="s">
        <v>4</v>
      </c>
    </row>
    <row r="2" spans="1:13" x14ac:dyDescent="0.3">
      <c r="A2" s="12">
        <v>1001</v>
      </c>
      <c r="B2" s="3">
        <v>45672</v>
      </c>
      <c r="C2" s="12">
        <f>MONTH(B2)</f>
        <v>1</v>
      </c>
      <c r="D2" s="12">
        <f>DAY(B2)</f>
        <v>15</v>
      </c>
      <c r="E2" s="12">
        <f>YEAR(B2)</f>
        <v>2025</v>
      </c>
      <c r="F2" s="8">
        <v>450</v>
      </c>
      <c r="G2" s="2" t="s">
        <v>5</v>
      </c>
      <c r="H2" s="2" t="s">
        <v>6</v>
      </c>
    </row>
    <row r="3" spans="1:13" x14ac:dyDescent="0.3">
      <c r="A3" s="12">
        <v>1002</v>
      </c>
      <c r="B3" s="3">
        <v>45706</v>
      </c>
      <c r="C3" s="12">
        <f t="shared" ref="C3:C16" si="0">MONTH(B3)</f>
        <v>2</v>
      </c>
      <c r="D3" s="12">
        <f t="shared" ref="D3:D16" si="1">DAY(B3)</f>
        <v>18</v>
      </c>
      <c r="E3" s="12">
        <f t="shared" ref="E3:E16" si="2">YEAR(B3)</f>
        <v>2025</v>
      </c>
      <c r="F3" s="8">
        <v>320</v>
      </c>
      <c r="G3" s="2" t="s">
        <v>7</v>
      </c>
      <c r="H3" s="2" t="s">
        <v>8</v>
      </c>
      <c r="L3" s="5" t="s">
        <v>16</v>
      </c>
      <c r="M3" t="s">
        <v>12</v>
      </c>
    </row>
    <row r="4" spans="1:13" x14ac:dyDescent="0.3">
      <c r="A4" s="12">
        <v>1003</v>
      </c>
      <c r="B4" s="3">
        <v>45721</v>
      </c>
      <c r="C4" s="12">
        <f t="shared" si="0"/>
        <v>3</v>
      </c>
      <c r="D4" s="12">
        <f t="shared" si="1"/>
        <v>5</v>
      </c>
      <c r="E4" s="12">
        <f t="shared" si="2"/>
        <v>2025</v>
      </c>
      <c r="F4" s="8">
        <v>600</v>
      </c>
      <c r="G4" s="2" t="s">
        <v>5</v>
      </c>
      <c r="H4" s="2" t="s">
        <v>9</v>
      </c>
      <c r="L4" s="15">
        <v>2026</v>
      </c>
      <c r="M4" s="9">
        <v>4090</v>
      </c>
    </row>
    <row r="5" spans="1:13" x14ac:dyDescent="0.3">
      <c r="A5" s="12">
        <v>1004</v>
      </c>
      <c r="B5" s="3">
        <v>45789</v>
      </c>
      <c r="C5" s="12">
        <f t="shared" si="0"/>
        <v>5</v>
      </c>
      <c r="D5" s="12">
        <f t="shared" si="1"/>
        <v>12</v>
      </c>
      <c r="E5" s="12">
        <f t="shared" si="2"/>
        <v>2025</v>
      </c>
      <c r="F5" s="8">
        <v>750</v>
      </c>
      <c r="G5" s="2" t="s">
        <v>10</v>
      </c>
      <c r="H5" s="2" t="s">
        <v>6</v>
      </c>
      <c r="L5" s="16" t="s">
        <v>17</v>
      </c>
      <c r="M5" s="9">
        <v>1570</v>
      </c>
    </row>
    <row r="6" spans="1:13" x14ac:dyDescent="0.3">
      <c r="A6" s="12">
        <v>1005</v>
      </c>
      <c r="B6" s="3">
        <v>45830</v>
      </c>
      <c r="C6" s="12">
        <f t="shared" si="0"/>
        <v>6</v>
      </c>
      <c r="D6" s="12">
        <f t="shared" si="1"/>
        <v>22</v>
      </c>
      <c r="E6" s="12">
        <f t="shared" si="2"/>
        <v>2025</v>
      </c>
      <c r="F6" s="8">
        <v>290</v>
      </c>
      <c r="G6" s="2" t="s">
        <v>5</v>
      </c>
      <c r="H6" s="2" t="s">
        <v>6</v>
      </c>
      <c r="L6" s="16" t="s">
        <v>18</v>
      </c>
      <c r="M6" s="9">
        <v>2040</v>
      </c>
    </row>
    <row r="7" spans="1:13" x14ac:dyDescent="0.3">
      <c r="A7" s="12">
        <v>1006</v>
      </c>
      <c r="B7" s="3">
        <v>45883</v>
      </c>
      <c r="C7" s="12">
        <f t="shared" si="0"/>
        <v>8</v>
      </c>
      <c r="D7" s="12">
        <f t="shared" si="1"/>
        <v>14</v>
      </c>
      <c r="E7" s="12">
        <f t="shared" si="2"/>
        <v>2025</v>
      </c>
      <c r="F7" s="8">
        <v>890</v>
      </c>
      <c r="G7" s="2" t="s">
        <v>7</v>
      </c>
      <c r="H7" s="2" t="s">
        <v>9</v>
      </c>
      <c r="L7" s="16" t="s">
        <v>19</v>
      </c>
      <c r="M7" s="9">
        <v>480</v>
      </c>
    </row>
    <row r="8" spans="1:13" x14ac:dyDescent="0.3">
      <c r="A8" s="12">
        <v>1007</v>
      </c>
      <c r="B8" s="3">
        <v>45963</v>
      </c>
      <c r="C8" s="12">
        <f t="shared" si="0"/>
        <v>11</v>
      </c>
      <c r="D8" s="12">
        <f t="shared" si="1"/>
        <v>2</v>
      </c>
      <c r="E8" s="12">
        <f t="shared" si="2"/>
        <v>2025</v>
      </c>
      <c r="F8" s="8">
        <v>410</v>
      </c>
      <c r="G8" s="2" t="s">
        <v>10</v>
      </c>
      <c r="H8" s="2" t="s">
        <v>8</v>
      </c>
      <c r="L8" s="15" t="s">
        <v>11</v>
      </c>
      <c r="M8" s="9">
        <v>4090</v>
      </c>
    </row>
    <row r="9" spans="1:13" x14ac:dyDescent="0.3">
      <c r="A9" s="12">
        <v>1008</v>
      </c>
      <c r="B9" s="3">
        <v>46016</v>
      </c>
      <c r="C9" s="12">
        <f t="shared" si="0"/>
        <v>12</v>
      </c>
      <c r="D9" s="12">
        <f t="shared" si="1"/>
        <v>25</v>
      </c>
      <c r="E9" s="12">
        <f t="shared" si="2"/>
        <v>2025</v>
      </c>
      <c r="F9" s="8">
        <v>1200</v>
      </c>
      <c r="G9" s="2" t="s">
        <v>5</v>
      </c>
      <c r="H9" s="2" t="s">
        <v>8</v>
      </c>
    </row>
    <row r="10" spans="1:13" x14ac:dyDescent="0.3">
      <c r="A10" s="12">
        <v>1009</v>
      </c>
      <c r="B10" s="3">
        <v>46032</v>
      </c>
      <c r="C10" s="12">
        <f t="shared" si="0"/>
        <v>1</v>
      </c>
      <c r="D10" s="12">
        <f t="shared" si="1"/>
        <v>10</v>
      </c>
      <c r="E10" s="12">
        <f t="shared" si="2"/>
        <v>2026</v>
      </c>
      <c r="F10" s="8">
        <v>550</v>
      </c>
      <c r="G10" s="2" t="s">
        <v>7</v>
      </c>
      <c r="H10" s="2" t="s">
        <v>6</v>
      </c>
    </row>
    <row r="11" spans="1:13" x14ac:dyDescent="0.3">
      <c r="A11" s="12">
        <v>1010</v>
      </c>
      <c r="B11" s="3">
        <v>46067</v>
      </c>
      <c r="C11" s="12">
        <f t="shared" si="0"/>
        <v>2</v>
      </c>
      <c r="D11" s="12">
        <f t="shared" si="1"/>
        <v>14</v>
      </c>
      <c r="E11" s="12">
        <f t="shared" si="2"/>
        <v>2026</v>
      </c>
      <c r="F11" s="8">
        <v>620</v>
      </c>
      <c r="G11" s="2" t="s">
        <v>5</v>
      </c>
      <c r="H11" s="2" t="s">
        <v>6</v>
      </c>
    </row>
    <row r="12" spans="1:13" x14ac:dyDescent="0.3">
      <c r="A12" s="12">
        <v>1011</v>
      </c>
      <c r="B12" s="3">
        <v>46101</v>
      </c>
      <c r="C12" s="12">
        <f t="shared" si="0"/>
        <v>3</v>
      </c>
      <c r="D12" s="12">
        <f t="shared" si="1"/>
        <v>20</v>
      </c>
      <c r="E12" s="12">
        <f t="shared" si="2"/>
        <v>2026</v>
      </c>
      <c r="F12" s="8">
        <v>400</v>
      </c>
      <c r="G12" s="2" t="s">
        <v>10</v>
      </c>
      <c r="H12" s="2" t="s">
        <v>9</v>
      </c>
    </row>
    <row r="13" spans="1:13" x14ac:dyDescent="0.3">
      <c r="A13" s="12">
        <v>1012</v>
      </c>
      <c r="B13" s="3">
        <v>46117</v>
      </c>
      <c r="C13" s="12">
        <f t="shared" si="0"/>
        <v>4</v>
      </c>
      <c r="D13" s="12">
        <f t="shared" si="1"/>
        <v>5</v>
      </c>
      <c r="E13" s="12">
        <f t="shared" si="2"/>
        <v>2026</v>
      </c>
      <c r="F13" s="8">
        <v>950</v>
      </c>
      <c r="G13" s="2" t="s">
        <v>5</v>
      </c>
      <c r="H13" s="2" t="s">
        <v>8</v>
      </c>
    </row>
    <row r="14" spans="1:13" x14ac:dyDescent="0.3">
      <c r="A14" s="12">
        <v>1013</v>
      </c>
      <c r="B14" s="3">
        <v>46160</v>
      </c>
      <c r="C14" s="12">
        <f t="shared" si="0"/>
        <v>5</v>
      </c>
      <c r="D14" s="12">
        <f t="shared" si="1"/>
        <v>18</v>
      </c>
      <c r="E14" s="12">
        <f t="shared" si="2"/>
        <v>2026</v>
      </c>
      <c r="F14" s="8">
        <v>310</v>
      </c>
      <c r="G14" s="2" t="s">
        <v>7</v>
      </c>
      <c r="H14" s="2" t="s">
        <v>9</v>
      </c>
    </row>
    <row r="15" spans="1:13" x14ac:dyDescent="0.3">
      <c r="A15" s="12">
        <v>1014</v>
      </c>
      <c r="B15" s="3">
        <v>46203</v>
      </c>
      <c r="C15" s="12">
        <f t="shared" si="0"/>
        <v>6</v>
      </c>
      <c r="D15" s="12">
        <f t="shared" si="1"/>
        <v>30</v>
      </c>
      <c r="E15" s="12">
        <f t="shared" si="2"/>
        <v>2026</v>
      </c>
      <c r="F15" s="8">
        <v>780</v>
      </c>
      <c r="G15" s="2" t="s">
        <v>5</v>
      </c>
      <c r="H15" s="2" t="s">
        <v>6</v>
      </c>
    </row>
    <row r="16" spans="1:13" x14ac:dyDescent="0.3">
      <c r="A16" s="12">
        <v>1015</v>
      </c>
      <c r="B16" s="3">
        <v>46215</v>
      </c>
      <c r="C16" s="12">
        <f t="shared" si="0"/>
        <v>7</v>
      </c>
      <c r="D16" s="12">
        <f t="shared" si="1"/>
        <v>12</v>
      </c>
      <c r="E16" s="12">
        <f t="shared" si="2"/>
        <v>2026</v>
      </c>
      <c r="F16" s="8">
        <v>480</v>
      </c>
      <c r="G16" s="2" t="s">
        <v>10</v>
      </c>
      <c r="H16" s="2"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EADEA-67D8-4971-98B5-645C77BC1320}">
  <dimension ref="A1:O21"/>
  <sheetViews>
    <sheetView topLeftCell="B1" workbookViewId="0">
      <selection activeCell="J19" sqref="J19"/>
    </sheetView>
  </sheetViews>
  <sheetFormatPr defaultRowHeight="14.4" x14ac:dyDescent="0.3"/>
  <cols>
    <col min="1" max="1" width="7.6640625" bestFit="1" customWidth="1"/>
    <col min="2" max="2" width="10.33203125" bestFit="1" customWidth="1"/>
    <col min="3" max="5" width="10.33203125" customWidth="1"/>
    <col min="6" max="6" width="7.21875" bestFit="1" customWidth="1"/>
    <col min="7" max="7" width="10.6640625" bestFit="1" customWidth="1"/>
    <col min="8" max="8" width="10" bestFit="1" customWidth="1"/>
    <col min="12" max="12" width="14.88671875" bestFit="1" customWidth="1"/>
    <col min="13" max="13" width="13.5546875" bestFit="1" customWidth="1"/>
    <col min="14" max="14" width="15.109375" bestFit="1" customWidth="1"/>
    <col min="15" max="15" width="17.88671875" bestFit="1" customWidth="1"/>
    <col min="16" max="16" width="12" bestFit="1" customWidth="1"/>
  </cols>
  <sheetData>
    <row r="1" spans="1:15" x14ac:dyDescent="0.3">
      <c r="A1" s="4" t="s">
        <v>0</v>
      </c>
      <c r="B1" s="4" t="s">
        <v>1</v>
      </c>
      <c r="C1" s="4" t="s">
        <v>14</v>
      </c>
      <c r="D1" s="4" t="s">
        <v>15</v>
      </c>
      <c r="E1" s="4" t="s">
        <v>16</v>
      </c>
      <c r="F1" s="7" t="s">
        <v>2</v>
      </c>
      <c r="G1" s="4" t="s">
        <v>3</v>
      </c>
      <c r="H1" s="4" t="s">
        <v>4</v>
      </c>
      <c r="I1" s="6"/>
    </row>
    <row r="2" spans="1:15" x14ac:dyDescent="0.3">
      <c r="A2" s="12">
        <v>1001</v>
      </c>
      <c r="B2" s="3">
        <v>45672</v>
      </c>
      <c r="C2" s="12">
        <f>MONTH(B2)</f>
        <v>1</v>
      </c>
      <c r="D2" s="12">
        <f>DAY(B2)</f>
        <v>15</v>
      </c>
      <c r="E2" s="12">
        <f>YEAR(B2)</f>
        <v>2025</v>
      </c>
      <c r="F2" s="8">
        <v>450</v>
      </c>
      <c r="G2" s="2" t="s">
        <v>5</v>
      </c>
      <c r="H2" s="2" t="s">
        <v>6</v>
      </c>
      <c r="I2" s="10"/>
    </row>
    <row r="3" spans="1:15" x14ac:dyDescent="0.3">
      <c r="A3" s="12">
        <v>1002</v>
      </c>
      <c r="B3" s="3">
        <v>45706</v>
      </c>
      <c r="C3" s="12">
        <f t="shared" ref="C3:C16" si="0">MONTH(B3)</f>
        <v>2</v>
      </c>
      <c r="D3" s="12">
        <f t="shared" ref="D3:D16" si="1">DAY(B3)</f>
        <v>18</v>
      </c>
      <c r="E3" s="12">
        <f t="shared" ref="E3:E16" si="2">YEAR(B3)</f>
        <v>2025</v>
      </c>
      <c r="F3" s="8">
        <v>320</v>
      </c>
      <c r="G3" s="2" t="s">
        <v>7</v>
      </c>
      <c r="H3" s="2" t="s">
        <v>8</v>
      </c>
      <c r="L3" s="5" t="s">
        <v>16</v>
      </c>
      <c r="M3" t="s">
        <v>12</v>
      </c>
      <c r="N3" t="s">
        <v>13</v>
      </c>
      <c r="O3" t="s">
        <v>23</v>
      </c>
    </row>
    <row r="4" spans="1:15" x14ac:dyDescent="0.3">
      <c r="A4" s="12">
        <v>1003</v>
      </c>
      <c r="B4" s="3">
        <v>45721</v>
      </c>
      <c r="C4" s="12">
        <f t="shared" si="0"/>
        <v>3</v>
      </c>
      <c r="D4" s="12">
        <f t="shared" si="1"/>
        <v>5</v>
      </c>
      <c r="E4" s="12">
        <f t="shared" si="2"/>
        <v>2025</v>
      </c>
      <c r="F4" s="8">
        <v>600</v>
      </c>
      <c r="G4" s="2" t="s">
        <v>5</v>
      </c>
      <c r="H4" s="2" t="s">
        <v>9</v>
      </c>
      <c r="L4" s="15">
        <v>2025</v>
      </c>
      <c r="M4" s="9">
        <v>4910</v>
      </c>
      <c r="N4">
        <v>8</v>
      </c>
      <c r="O4">
        <v>613.75</v>
      </c>
    </row>
    <row r="5" spans="1:15" x14ac:dyDescent="0.3">
      <c r="A5" s="12">
        <v>1004</v>
      </c>
      <c r="B5" s="3">
        <v>45789</v>
      </c>
      <c r="C5" s="12">
        <f t="shared" si="0"/>
        <v>5</v>
      </c>
      <c r="D5" s="12">
        <f t="shared" si="1"/>
        <v>12</v>
      </c>
      <c r="E5" s="12">
        <f t="shared" si="2"/>
        <v>2025</v>
      </c>
      <c r="F5" s="8">
        <v>750</v>
      </c>
      <c r="G5" s="2" t="s">
        <v>10</v>
      </c>
      <c r="H5" s="2" t="s">
        <v>6</v>
      </c>
      <c r="L5" s="14">
        <v>1</v>
      </c>
      <c r="M5" s="9">
        <v>450</v>
      </c>
      <c r="N5">
        <v>1</v>
      </c>
      <c r="O5">
        <v>450</v>
      </c>
    </row>
    <row r="6" spans="1:15" x14ac:dyDescent="0.3">
      <c r="A6" s="12">
        <v>1005</v>
      </c>
      <c r="B6" s="3">
        <v>45830</v>
      </c>
      <c r="C6" s="12">
        <f t="shared" si="0"/>
        <v>6</v>
      </c>
      <c r="D6" s="12">
        <f t="shared" si="1"/>
        <v>22</v>
      </c>
      <c r="E6" s="12">
        <f t="shared" si="2"/>
        <v>2025</v>
      </c>
      <c r="F6" s="8">
        <v>290</v>
      </c>
      <c r="G6" s="2" t="s">
        <v>5</v>
      </c>
      <c r="H6" s="2" t="s">
        <v>6</v>
      </c>
      <c r="L6" s="14">
        <v>2</v>
      </c>
      <c r="M6" s="9">
        <v>320</v>
      </c>
      <c r="N6">
        <v>1</v>
      </c>
      <c r="O6">
        <v>320</v>
      </c>
    </row>
    <row r="7" spans="1:15" x14ac:dyDescent="0.3">
      <c r="A7" s="12">
        <v>1006</v>
      </c>
      <c r="B7" s="3">
        <v>45883</v>
      </c>
      <c r="C7" s="12">
        <f t="shared" si="0"/>
        <v>8</v>
      </c>
      <c r="D7" s="12">
        <f t="shared" si="1"/>
        <v>14</v>
      </c>
      <c r="E7" s="12">
        <f t="shared" si="2"/>
        <v>2025</v>
      </c>
      <c r="F7" s="8">
        <v>890</v>
      </c>
      <c r="G7" s="2" t="s">
        <v>7</v>
      </c>
      <c r="H7" s="2" t="s">
        <v>9</v>
      </c>
      <c r="L7" s="14">
        <v>3</v>
      </c>
      <c r="M7" s="9">
        <v>600</v>
      </c>
      <c r="N7">
        <v>1</v>
      </c>
      <c r="O7">
        <v>600</v>
      </c>
    </row>
    <row r="8" spans="1:15" x14ac:dyDescent="0.3">
      <c r="A8" s="12">
        <v>1007</v>
      </c>
      <c r="B8" s="3">
        <v>45963</v>
      </c>
      <c r="C8" s="12">
        <f t="shared" si="0"/>
        <v>11</v>
      </c>
      <c r="D8" s="12">
        <f t="shared" si="1"/>
        <v>2</v>
      </c>
      <c r="E8" s="12">
        <f t="shared" si="2"/>
        <v>2025</v>
      </c>
      <c r="F8" s="8">
        <v>410</v>
      </c>
      <c r="G8" s="2" t="s">
        <v>10</v>
      </c>
      <c r="H8" s="2" t="s">
        <v>8</v>
      </c>
      <c r="L8" s="14">
        <v>5</v>
      </c>
      <c r="M8" s="9">
        <v>750</v>
      </c>
      <c r="N8">
        <v>1</v>
      </c>
      <c r="O8">
        <v>750</v>
      </c>
    </row>
    <row r="9" spans="1:15" x14ac:dyDescent="0.3">
      <c r="A9" s="12">
        <v>1008</v>
      </c>
      <c r="B9" s="3">
        <v>46016</v>
      </c>
      <c r="C9" s="12">
        <f t="shared" si="0"/>
        <v>12</v>
      </c>
      <c r="D9" s="12">
        <f t="shared" si="1"/>
        <v>25</v>
      </c>
      <c r="E9" s="12">
        <f t="shared" si="2"/>
        <v>2025</v>
      </c>
      <c r="F9" s="8">
        <v>1200</v>
      </c>
      <c r="G9" s="2" t="s">
        <v>5</v>
      </c>
      <c r="H9" s="2" t="s">
        <v>8</v>
      </c>
      <c r="L9" s="14">
        <v>6</v>
      </c>
      <c r="M9" s="9">
        <v>290</v>
      </c>
      <c r="N9">
        <v>1</v>
      </c>
      <c r="O9">
        <v>290</v>
      </c>
    </row>
    <row r="10" spans="1:15" x14ac:dyDescent="0.3">
      <c r="A10" s="12">
        <v>1009</v>
      </c>
      <c r="B10" s="3">
        <v>46032</v>
      </c>
      <c r="C10" s="12">
        <f t="shared" si="0"/>
        <v>1</v>
      </c>
      <c r="D10" s="12">
        <f t="shared" si="1"/>
        <v>10</v>
      </c>
      <c r="E10" s="12">
        <f t="shared" si="2"/>
        <v>2026</v>
      </c>
      <c r="F10" s="8">
        <v>550</v>
      </c>
      <c r="G10" s="2" t="s">
        <v>7</v>
      </c>
      <c r="H10" s="2" t="s">
        <v>6</v>
      </c>
      <c r="L10" s="14">
        <v>8</v>
      </c>
      <c r="M10" s="9">
        <v>890</v>
      </c>
      <c r="N10">
        <v>1</v>
      </c>
      <c r="O10">
        <v>890</v>
      </c>
    </row>
    <row r="11" spans="1:15" x14ac:dyDescent="0.3">
      <c r="A11" s="12">
        <v>1010</v>
      </c>
      <c r="B11" s="3">
        <v>46067</v>
      </c>
      <c r="C11" s="12">
        <f t="shared" si="0"/>
        <v>2</v>
      </c>
      <c r="D11" s="12">
        <f t="shared" si="1"/>
        <v>14</v>
      </c>
      <c r="E11" s="12">
        <f t="shared" si="2"/>
        <v>2026</v>
      </c>
      <c r="F11" s="8">
        <v>620</v>
      </c>
      <c r="G11" s="2" t="s">
        <v>5</v>
      </c>
      <c r="H11" s="2" t="s">
        <v>6</v>
      </c>
      <c r="L11" s="14">
        <v>11</v>
      </c>
      <c r="M11" s="9">
        <v>410</v>
      </c>
      <c r="N11">
        <v>1</v>
      </c>
      <c r="O11">
        <v>410</v>
      </c>
    </row>
    <row r="12" spans="1:15" x14ac:dyDescent="0.3">
      <c r="A12" s="12">
        <v>1011</v>
      </c>
      <c r="B12" s="3">
        <v>46101</v>
      </c>
      <c r="C12" s="12">
        <f t="shared" si="0"/>
        <v>3</v>
      </c>
      <c r="D12" s="12">
        <f t="shared" si="1"/>
        <v>20</v>
      </c>
      <c r="E12" s="12">
        <f t="shared" si="2"/>
        <v>2026</v>
      </c>
      <c r="F12" s="8">
        <v>400</v>
      </c>
      <c r="G12" s="2" t="s">
        <v>10</v>
      </c>
      <c r="H12" s="2" t="s">
        <v>9</v>
      </c>
      <c r="L12" s="14">
        <v>12</v>
      </c>
      <c r="M12" s="9">
        <v>1200</v>
      </c>
      <c r="N12">
        <v>1</v>
      </c>
      <c r="O12">
        <v>1200</v>
      </c>
    </row>
    <row r="13" spans="1:15" x14ac:dyDescent="0.3">
      <c r="A13" s="12">
        <v>1012</v>
      </c>
      <c r="B13" s="3">
        <v>46117</v>
      </c>
      <c r="C13" s="12">
        <f t="shared" si="0"/>
        <v>4</v>
      </c>
      <c r="D13" s="12">
        <f t="shared" si="1"/>
        <v>5</v>
      </c>
      <c r="E13" s="12">
        <f t="shared" si="2"/>
        <v>2026</v>
      </c>
      <c r="F13" s="8">
        <v>950</v>
      </c>
      <c r="G13" s="2" t="s">
        <v>5</v>
      </c>
      <c r="H13" s="2" t="s">
        <v>8</v>
      </c>
      <c r="L13" s="15">
        <v>2026</v>
      </c>
      <c r="M13" s="9">
        <v>4090</v>
      </c>
      <c r="N13">
        <v>7</v>
      </c>
      <c r="O13">
        <v>584.28571428571433</v>
      </c>
    </row>
    <row r="14" spans="1:15" x14ac:dyDescent="0.3">
      <c r="A14" s="12">
        <v>1013</v>
      </c>
      <c r="B14" s="3">
        <v>46160</v>
      </c>
      <c r="C14" s="12">
        <f t="shared" si="0"/>
        <v>5</v>
      </c>
      <c r="D14" s="12">
        <f t="shared" si="1"/>
        <v>18</v>
      </c>
      <c r="E14" s="12">
        <f t="shared" si="2"/>
        <v>2026</v>
      </c>
      <c r="F14" s="8">
        <v>310</v>
      </c>
      <c r="G14" s="2" t="s">
        <v>7</v>
      </c>
      <c r="H14" s="2" t="s">
        <v>9</v>
      </c>
      <c r="L14" s="14">
        <v>1</v>
      </c>
      <c r="M14" s="9">
        <v>550</v>
      </c>
      <c r="N14">
        <v>1</v>
      </c>
      <c r="O14">
        <v>550</v>
      </c>
    </row>
    <row r="15" spans="1:15" x14ac:dyDescent="0.3">
      <c r="A15" s="12">
        <v>1014</v>
      </c>
      <c r="B15" s="3">
        <v>46203</v>
      </c>
      <c r="C15" s="12">
        <f t="shared" si="0"/>
        <v>6</v>
      </c>
      <c r="D15" s="12">
        <f t="shared" si="1"/>
        <v>30</v>
      </c>
      <c r="E15" s="12">
        <f t="shared" si="2"/>
        <v>2026</v>
      </c>
      <c r="F15" s="8">
        <v>780</v>
      </c>
      <c r="G15" s="2" t="s">
        <v>5</v>
      </c>
      <c r="H15" s="2" t="s">
        <v>6</v>
      </c>
      <c r="L15" s="14">
        <v>2</v>
      </c>
      <c r="M15" s="9">
        <v>620</v>
      </c>
      <c r="N15">
        <v>1</v>
      </c>
      <c r="O15">
        <v>620</v>
      </c>
    </row>
    <row r="16" spans="1:15" x14ac:dyDescent="0.3">
      <c r="A16" s="12">
        <v>1015</v>
      </c>
      <c r="B16" s="3">
        <v>46215</v>
      </c>
      <c r="C16" s="12">
        <f t="shared" si="0"/>
        <v>7</v>
      </c>
      <c r="D16" s="12">
        <f t="shared" si="1"/>
        <v>12</v>
      </c>
      <c r="E16" s="12">
        <f t="shared" si="2"/>
        <v>2026</v>
      </c>
      <c r="F16" s="8">
        <v>480</v>
      </c>
      <c r="G16" s="2" t="s">
        <v>10</v>
      </c>
      <c r="H16" s="2" t="s">
        <v>8</v>
      </c>
      <c r="L16" s="14">
        <v>3</v>
      </c>
      <c r="M16" s="9">
        <v>400</v>
      </c>
      <c r="N16">
        <v>1</v>
      </c>
      <c r="O16">
        <v>400</v>
      </c>
    </row>
    <row r="17" spans="12:15" x14ac:dyDescent="0.3">
      <c r="L17" s="14">
        <v>4</v>
      </c>
      <c r="M17" s="9">
        <v>950</v>
      </c>
      <c r="N17">
        <v>1</v>
      </c>
      <c r="O17">
        <v>950</v>
      </c>
    </row>
    <row r="18" spans="12:15" x14ac:dyDescent="0.3">
      <c r="L18" s="14">
        <v>5</v>
      </c>
      <c r="M18" s="9">
        <v>310</v>
      </c>
      <c r="N18">
        <v>1</v>
      </c>
      <c r="O18">
        <v>310</v>
      </c>
    </row>
    <row r="19" spans="12:15" x14ac:dyDescent="0.3">
      <c r="L19" s="14">
        <v>6</v>
      </c>
      <c r="M19" s="9">
        <v>780</v>
      </c>
      <c r="N19">
        <v>1</v>
      </c>
      <c r="O19">
        <v>780</v>
      </c>
    </row>
    <row r="20" spans="12:15" x14ac:dyDescent="0.3">
      <c r="L20" s="14">
        <v>7</v>
      </c>
      <c r="M20" s="9">
        <v>480</v>
      </c>
      <c r="N20">
        <v>1</v>
      </c>
      <c r="O20">
        <v>480</v>
      </c>
    </row>
    <row r="21" spans="12:15" x14ac:dyDescent="0.3">
      <c r="L21" s="15" t="s">
        <v>11</v>
      </c>
      <c r="M21" s="9">
        <v>9000</v>
      </c>
      <c r="N21">
        <v>15</v>
      </c>
      <c r="O21">
        <v>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C2EE6-C7A0-4938-9D63-03E114CCEAED}">
  <dimension ref="A1"/>
  <sheetViews>
    <sheetView workbookViewId="0">
      <selection activeCell="I9" sqref="I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AEAC-F6DF-4DE2-92C8-3291D8B6A84A}">
  <dimension ref="A1:B8"/>
  <sheetViews>
    <sheetView workbookViewId="0">
      <selection activeCell="B7" sqref="B7"/>
    </sheetView>
  </sheetViews>
  <sheetFormatPr defaultRowHeight="14.4" x14ac:dyDescent="0.3"/>
  <cols>
    <col min="1" max="1" width="18.5546875" bestFit="1" customWidth="1"/>
    <col min="2" max="2" width="13.5546875" bestFit="1" customWidth="1"/>
    <col min="3" max="3" width="5.33203125" bestFit="1" customWidth="1"/>
    <col min="4" max="4" width="7.77734375" bestFit="1" customWidth="1"/>
    <col min="5" max="5" width="10.5546875" bestFit="1" customWidth="1"/>
  </cols>
  <sheetData>
    <row r="1" spans="1:2" x14ac:dyDescent="0.3">
      <c r="A1" s="5" t="s">
        <v>25</v>
      </c>
      <c r="B1" t="s">
        <v>18</v>
      </c>
    </row>
    <row r="3" spans="1:2" x14ac:dyDescent="0.3">
      <c r="A3" s="5" t="s">
        <v>16</v>
      </c>
      <c r="B3" t="s">
        <v>12</v>
      </c>
    </row>
    <row r="4" spans="1:2" x14ac:dyDescent="0.3">
      <c r="A4" s="15">
        <v>2026</v>
      </c>
      <c r="B4" s="9">
        <v>2040</v>
      </c>
    </row>
    <row r="5" spans="1:2" x14ac:dyDescent="0.3">
      <c r="A5" s="16" t="s">
        <v>22</v>
      </c>
      <c r="B5" s="9">
        <v>950</v>
      </c>
    </row>
    <row r="6" spans="1:2" x14ac:dyDescent="0.3">
      <c r="A6" s="16" t="s">
        <v>20</v>
      </c>
      <c r="B6" s="9">
        <v>310</v>
      </c>
    </row>
    <row r="7" spans="1:2" x14ac:dyDescent="0.3">
      <c r="A7" s="16" t="s">
        <v>21</v>
      </c>
      <c r="B7" s="9">
        <v>780</v>
      </c>
    </row>
    <row r="8" spans="1:2" x14ac:dyDescent="0.3">
      <c r="A8" s="15" t="s">
        <v>11</v>
      </c>
      <c r="B8" s="9">
        <v>2040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9FC3-FF62-412C-BA10-7FC93A65BAA9}">
  <dimension ref="A1:H6"/>
  <sheetViews>
    <sheetView zoomScale="102" workbookViewId="0">
      <selection activeCell="H17" sqref="H17"/>
    </sheetView>
  </sheetViews>
  <sheetFormatPr defaultRowHeight="14.4" x14ac:dyDescent="0.3"/>
  <cols>
    <col min="1" max="1" width="10.109375" bestFit="1" customWidth="1"/>
    <col min="2" max="2" width="12.21875" bestFit="1" customWidth="1"/>
    <col min="3" max="5" width="9" bestFit="1" customWidth="1"/>
    <col min="6" max="6" width="9.6640625" bestFit="1" customWidth="1"/>
    <col min="7" max="7" width="10.6640625" bestFit="1" customWidth="1"/>
    <col min="8" max="8" width="12.21875" bestFit="1" customWidth="1"/>
  </cols>
  <sheetData>
    <row r="1" spans="1:8" x14ac:dyDescent="0.3">
      <c r="A1" s="11" t="s">
        <v>26</v>
      </c>
    </row>
    <row r="3" spans="1:8" x14ac:dyDescent="0.3">
      <c r="A3" t="s">
        <v>0</v>
      </c>
      <c r="B3" t="s">
        <v>1</v>
      </c>
      <c r="C3" t="s">
        <v>14</v>
      </c>
      <c r="D3" t="s">
        <v>15</v>
      </c>
      <c r="E3" t="s">
        <v>16</v>
      </c>
      <c r="F3" t="s">
        <v>2</v>
      </c>
      <c r="G3" t="s">
        <v>3</v>
      </c>
      <c r="H3" t="s">
        <v>4</v>
      </c>
    </row>
    <row r="4" spans="1:8" x14ac:dyDescent="0.3">
      <c r="A4">
        <v>1012</v>
      </c>
      <c r="B4" s="1">
        <v>46117</v>
      </c>
      <c r="C4">
        <v>4</v>
      </c>
      <c r="D4">
        <v>5</v>
      </c>
      <c r="E4">
        <v>2026</v>
      </c>
      <c r="F4" s="9">
        <v>950</v>
      </c>
      <c r="G4" t="s">
        <v>5</v>
      </c>
      <c r="H4" t="s">
        <v>8</v>
      </c>
    </row>
    <row r="5" spans="1:8" x14ac:dyDescent="0.3">
      <c r="A5">
        <v>1013</v>
      </c>
      <c r="B5" s="1">
        <v>46160</v>
      </c>
      <c r="C5">
        <v>5</v>
      </c>
      <c r="D5">
        <v>18</v>
      </c>
      <c r="E5">
        <v>2026</v>
      </c>
      <c r="F5" s="9">
        <v>310</v>
      </c>
      <c r="G5" t="s">
        <v>7</v>
      </c>
      <c r="H5" t="s">
        <v>9</v>
      </c>
    </row>
    <row r="6" spans="1:8" x14ac:dyDescent="0.3">
      <c r="A6">
        <v>1014</v>
      </c>
      <c r="B6" s="1">
        <v>46203</v>
      </c>
      <c r="C6">
        <v>6</v>
      </c>
      <c r="D6">
        <v>30</v>
      </c>
      <c r="E6">
        <v>2026</v>
      </c>
      <c r="F6" s="9">
        <v>780</v>
      </c>
      <c r="G6" t="s">
        <v>5</v>
      </c>
      <c r="H6" t="s">
        <v>6</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vt:lpstr>
      <vt:lpstr>2</vt:lpstr>
      <vt:lpstr>3</vt:lpstr>
      <vt:lpstr>4</vt:lpstr>
      <vt:lpstr>5</vt:lpstr>
      <vt:lpstr>5(Details)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leopolackal123@outlook.com</dc:creator>
  <cp:lastModifiedBy>leopolackal123@outlook.com</cp:lastModifiedBy>
  <dcterms:created xsi:type="dcterms:W3CDTF">2026-07-18T16:01:09Z</dcterms:created>
  <dcterms:modified xsi:type="dcterms:W3CDTF">2026-07-19T20:27:36Z</dcterms:modified>
</cp:coreProperties>
</file>