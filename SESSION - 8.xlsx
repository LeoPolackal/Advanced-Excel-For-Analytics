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DATA ANALYTICS ASSIGNMENT/"/>
    </mc:Choice>
  </mc:AlternateContent>
  <xr:revisionPtr revIDLastSave="3" documentId="8_{B2F8769D-FD60-4A6E-9756-E5B60BD17572}" xr6:coauthVersionLast="47" xr6:coauthVersionMax="47" xr10:uidLastSave="{835806DD-1778-4D5D-9072-314BCC893329}"/>
  <bookViews>
    <workbookView xWindow="-108" yWindow="-108" windowWidth="23256" windowHeight="12456" xr2:uid="{20F837D2-7D30-467D-96D8-8BFC46CABDD8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D2" i="5" s="1"/>
  <c r="C3" i="5"/>
  <c r="D3" i="5" s="1"/>
  <c r="C4" i="5"/>
  <c r="D4" i="5" s="1"/>
  <c r="C5" i="5"/>
  <c r="D5" i="5" s="1"/>
  <c r="E2" i="4"/>
  <c r="E3" i="4"/>
  <c r="E4" i="4"/>
  <c r="E5" i="4"/>
  <c r="E6" i="4"/>
  <c r="C2" i="3"/>
  <c r="C3" i="3"/>
  <c r="C4" i="3"/>
  <c r="C5" i="3"/>
  <c r="C6" i="3"/>
  <c r="C7" i="3"/>
  <c r="C8" i="3"/>
  <c r="C9" i="3"/>
  <c r="C10" i="3"/>
  <c r="B2" i="2"/>
  <c r="C2" i="2" a="1"/>
  <c r="C2" i="2" s="1"/>
  <c r="C3" i="2" a="1"/>
  <c r="C3" i="2" s="1"/>
  <c r="C4" i="2" a="1"/>
  <c r="C4" i="2" s="1"/>
  <c r="C5" i="2" a="1"/>
  <c r="C5" i="2" s="1"/>
  <c r="C6" i="2" a="1"/>
  <c r="C6" i="2" s="1"/>
  <c r="C3" i="1"/>
  <c r="C4" i="1"/>
  <c r="C5" i="1"/>
  <c r="C6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<sst xmlns="http://schemas.openxmlformats.org/spreadsheetml/2006/main" count="64" uniqueCount="50">
  <si>
    <t>FOOD-1</t>
  </si>
  <si>
    <t>FOOD-2</t>
  </si>
  <si>
    <t>FOOD-3</t>
  </si>
  <si>
    <t>FOOD-4</t>
  </si>
  <si>
    <t>FOOD-5</t>
  </si>
  <si>
    <t>Value</t>
  </si>
  <si>
    <t>Price</t>
  </si>
  <si>
    <t>Food list</t>
  </si>
  <si>
    <t>PLAYER - 5</t>
  </si>
  <si>
    <t>PLAYER - 4</t>
  </si>
  <si>
    <t>PLAYER - 3</t>
  </si>
  <si>
    <t>PLAYER - 2</t>
  </si>
  <si>
    <t>PLAYER - 1</t>
  </si>
  <si>
    <t>PLAYER RATING</t>
  </si>
  <si>
    <t>TOTAL RUNS</t>
  </si>
  <si>
    <t>CRICKET PLAYER LIST</t>
  </si>
  <si>
    <t>Shipped</t>
  </si>
  <si>
    <t>EMI</t>
  </si>
  <si>
    <t>Delivered</t>
  </si>
  <si>
    <t xml:space="preserve">Prepaid </t>
  </si>
  <si>
    <t>Returned</t>
  </si>
  <si>
    <t>COD</t>
  </si>
  <si>
    <t>Cancelled</t>
  </si>
  <si>
    <t>GIFT Card</t>
  </si>
  <si>
    <t>Eligibilty</t>
  </si>
  <si>
    <t>Order Status</t>
  </si>
  <si>
    <t>Payment Method</t>
  </si>
  <si>
    <t>Miley Cyrus</t>
  </si>
  <si>
    <t>Flowers</t>
  </si>
  <si>
    <t>Harry Styles</t>
  </si>
  <si>
    <t>As It Was</t>
  </si>
  <si>
    <t>Kid LAROI &amp; Justin Bieber</t>
  </si>
  <si>
    <t>Stay</t>
  </si>
  <si>
    <t>Ed Sheeran</t>
  </si>
  <si>
    <t>Shape of You</t>
  </si>
  <si>
    <t>The Weeknd</t>
  </si>
  <si>
    <t>Blinding Lights</t>
  </si>
  <si>
    <t>QUICK ACCESS</t>
  </si>
  <si>
    <t>isFavorite</t>
  </si>
  <si>
    <t>isDownloaded</t>
  </si>
  <si>
    <t>ARTIST</t>
  </si>
  <si>
    <t>SONG NAME</t>
  </si>
  <si>
    <t>Cash</t>
  </si>
  <si>
    <t>Yes</t>
  </si>
  <si>
    <t>No</t>
  </si>
  <si>
    <t>Card</t>
  </si>
  <si>
    <t>OUTPUT</t>
  </si>
  <si>
    <t>RESULT</t>
  </si>
  <si>
    <t xml:space="preserve">PAYMENT METHOD </t>
  </si>
  <si>
    <t>DELIVERY ADDDRESS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</si>
</sst>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5" fontId="0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A40E-88BA-47AC-A180-5E06B14E894B}">
  <dimension ref="A1:C6"/>
  <sheetViews>
    <sheetView tabSelected="1" workbookViewId="0">
      <selection activeCell="J16" sqref="J16"/>
    </sheetView>
  </sheetViews>
  <sheetFormatPr defaultRowHeight="14.4" x14ac:dyDescent="0.3"/>
  <cols>
    <col min="3" max="3" width="9.5546875" bestFit="1" customWidth="1"/>
  </cols>
  <sheetData>
    <row r="1" spans="1:3" x14ac:dyDescent="0.3">
      <c r="A1" s="2" t="s">
        <v>7</v>
      </c>
      <c r="B1" s="2" t="s">
        <v>6</v>
      </c>
      <c r="C1" s="2" t="s">
        <v>5</v>
      </c>
    </row>
    <row r="2" spans="1:3" x14ac:dyDescent="0.3">
      <c r="A2" s="1" t="s">
        <v>0</v>
      </c>
      <c r="B2" s="3">
        <v>400</v>
      </c>
      <c r="C2" s="1" t="str">
        <f>IF(B2&gt;=500,"High Value","Regular")</f>
        <v>Regular</v>
      </c>
    </row>
    <row r="3" spans="1:3" x14ac:dyDescent="0.3">
      <c r="A3" s="1" t="s">
        <v>1</v>
      </c>
      <c r="B3" s="3">
        <v>530</v>
      </c>
      <c r="C3" s="1" t="str">
        <f t="shared" ref="C3:C6" si="0">IF(B3&gt;=500,"High Value","Regular")</f>
        <v>High Value</v>
      </c>
    </row>
    <row r="4" spans="1:3" x14ac:dyDescent="0.3">
      <c r="A4" s="1" t="s">
        <v>2</v>
      </c>
      <c r="B4" s="3">
        <v>320</v>
      </c>
      <c r="C4" s="1" t="str">
        <f t="shared" si="0"/>
        <v>Regular</v>
      </c>
    </row>
    <row r="5" spans="1:3" x14ac:dyDescent="0.3">
      <c r="A5" s="1" t="s">
        <v>3</v>
      </c>
      <c r="B5" s="3">
        <v>600</v>
      </c>
      <c r="C5" s="1" t="str">
        <f t="shared" si="0"/>
        <v>High Value</v>
      </c>
    </row>
    <row r="6" spans="1:3" x14ac:dyDescent="0.3">
      <c r="A6" s="1" t="s">
        <v>4</v>
      </c>
      <c r="B6" s="3">
        <v>800</v>
      </c>
      <c r="C6" s="1" t="str">
        <f t="shared" si="0"/>
        <v>High Value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6633-2394-453C-A28C-07CD44C76394}">
  <dimension ref="A1:C6"/>
  <sheetViews>
    <sheetView workbookViewId="0">
      <selection activeCell="B10" sqref="B10"/>
    </sheetView>
  </sheetViews>
  <sheetFormatPr defaultRowHeight="14.4" x14ac:dyDescent="0.3"/>
  <cols>
    <col min="1" max="1" width="23.109375" customWidth="1"/>
    <col min="2" max="2" width="18.6640625" customWidth="1"/>
    <col min="3" max="3" width="22.88671875" customWidth="1"/>
  </cols>
  <sheetData>
    <row r="1" spans="1:3" x14ac:dyDescent="0.3">
      <c r="A1" s="2" t="s">
        <v>15</v>
      </c>
      <c r="B1" s="2" t="s">
        <v>14</v>
      </c>
      <c r="C1" s="2" t="s">
        <v>13</v>
      </c>
    </row>
    <row r="2" spans="1:3" x14ac:dyDescent="0.3">
      <c r="A2" s="1" t="s">
        <v>12</v>
      </c>
      <c r="B2" s="1">
        <f>1020</f>
        <v>1020</v>
      </c>
      <c r="C2" s="1" t="str" cm="1">
        <f t="array" ref="C2">_xlfn.IFS(B2&gt;=1000,"Star",B2&gt;=700,"Pro",B2&gt;=400,"Rising",B2&lt;400,"Newbie")</f>
        <v>Star</v>
      </c>
    </row>
    <row r="3" spans="1:3" x14ac:dyDescent="0.3">
      <c r="A3" s="1" t="s">
        <v>11</v>
      </c>
      <c r="B3" s="1">
        <v>999</v>
      </c>
      <c r="C3" s="1" t="str" cm="1">
        <f t="array" ref="C3">_xlfn.IFS(B3&gt;=1000,"Star",B3&gt;=700,"Pro",B3&gt;=400,"Rising",B3&lt;400,"Newbie")</f>
        <v>Pro</v>
      </c>
    </row>
    <row r="4" spans="1:3" x14ac:dyDescent="0.3">
      <c r="A4" s="1" t="s">
        <v>10</v>
      </c>
      <c r="B4" s="1">
        <v>699</v>
      </c>
      <c r="C4" s="1" t="str" cm="1">
        <f t="array" ref="C4">_xlfn.IFS(B4&gt;=1000,"Star",B4&gt;=700,"Pro",B4&gt;=400,"Rising",B4&lt;400,"Newbie")</f>
        <v>Rising</v>
      </c>
    </row>
    <row r="5" spans="1:3" x14ac:dyDescent="0.3">
      <c r="A5" s="1" t="s">
        <v>9</v>
      </c>
      <c r="B5" s="1">
        <v>300</v>
      </c>
      <c r="C5" s="1" t="str" cm="1">
        <f t="array" ref="C5">_xlfn.IFS(B5&gt;=1000,"Star",B5&gt;=700,"Pro",B5&gt;=400,"Rising",B5&lt;400,"Newbie")</f>
        <v>Newbie</v>
      </c>
    </row>
    <row r="6" spans="1:3" x14ac:dyDescent="0.3">
      <c r="A6" s="1" t="s">
        <v>8</v>
      </c>
      <c r="B6" s="1">
        <v>1100</v>
      </c>
      <c r="C6" s="1" t="str" cm="1">
        <f t="array" ref="C6">_xlfn.IFS(B6&gt;=1000,"Star",B6&gt;=700,"Pro",B6&gt;=400,"Rising",B6&lt;400,"Newbie")</f>
        <v>Star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9C8A-9C74-47E9-B0C3-B57CA6490039}">
  <dimension ref="A1:C10"/>
  <sheetViews>
    <sheetView workbookViewId="0">
      <selection activeCell="E10" sqref="E10"/>
    </sheetView>
  </sheetViews>
  <sheetFormatPr defaultRowHeight="14.4" x14ac:dyDescent="0.3"/>
  <cols>
    <col min="1" max="1" width="15" bestFit="1" customWidth="1"/>
    <col min="2" max="2" width="11.44140625" bestFit="1" customWidth="1"/>
  </cols>
  <sheetData>
    <row r="1" spans="1:3" x14ac:dyDescent="0.3">
      <c r="A1" s="2" t="s">
        <v>26</v>
      </c>
      <c r="B1" s="2" t="s">
        <v>25</v>
      </c>
      <c r="C1" s="2" t="s">
        <v>24</v>
      </c>
    </row>
    <row r="2" spans="1:3" x14ac:dyDescent="0.3">
      <c r="A2" s="1" t="s">
        <v>19</v>
      </c>
      <c r="B2" s="1" t="s">
        <v>18</v>
      </c>
      <c r="C2" s="1" t="str">
        <f t="shared" ref="C2:C10" si="0">IF(AND(TRIM(A2)="Prepaid",TRIM(B2)="Delivered"),"Eligible","")</f>
        <v>Eligible</v>
      </c>
    </row>
    <row r="3" spans="1:3" x14ac:dyDescent="0.3">
      <c r="A3" s="1" t="s">
        <v>21</v>
      </c>
      <c r="B3" s="1" t="s">
        <v>16</v>
      </c>
      <c r="C3" s="1" t="str">
        <f t="shared" si="0"/>
        <v/>
      </c>
    </row>
    <row r="4" spans="1:3" x14ac:dyDescent="0.3">
      <c r="A4" s="1" t="s">
        <v>23</v>
      </c>
      <c r="B4" s="1" t="s">
        <v>18</v>
      </c>
      <c r="C4" s="1" t="str">
        <f t="shared" si="0"/>
        <v/>
      </c>
    </row>
    <row r="5" spans="1:3" x14ac:dyDescent="0.3">
      <c r="A5" s="1" t="s">
        <v>17</v>
      </c>
      <c r="B5" s="1" t="s">
        <v>20</v>
      </c>
      <c r="C5" s="1" t="str">
        <f t="shared" si="0"/>
        <v/>
      </c>
    </row>
    <row r="6" spans="1:3" x14ac:dyDescent="0.3">
      <c r="A6" s="1" t="s">
        <v>19</v>
      </c>
      <c r="B6" s="1" t="s">
        <v>22</v>
      </c>
      <c r="C6" s="1" t="str">
        <f t="shared" si="0"/>
        <v/>
      </c>
    </row>
    <row r="7" spans="1:3" x14ac:dyDescent="0.3">
      <c r="A7" s="1" t="s">
        <v>21</v>
      </c>
      <c r="B7" s="1" t="s">
        <v>20</v>
      </c>
      <c r="C7" s="1" t="str">
        <f t="shared" si="0"/>
        <v/>
      </c>
    </row>
    <row r="8" spans="1:3" x14ac:dyDescent="0.3">
      <c r="A8" s="1" t="s">
        <v>19</v>
      </c>
      <c r="B8" s="1" t="s">
        <v>18</v>
      </c>
      <c r="C8" s="1" t="str">
        <f t="shared" si="0"/>
        <v>Eligible</v>
      </c>
    </row>
    <row r="9" spans="1:3" x14ac:dyDescent="0.3">
      <c r="A9" s="1" t="s">
        <v>19</v>
      </c>
      <c r="B9" s="1" t="s">
        <v>18</v>
      </c>
      <c r="C9" s="1" t="str">
        <f t="shared" si="0"/>
        <v>Eligible</v>
      </c>
    </row>
    <row r="10" spans="1:3" x14ac:dyDescent="0.3">
      <c r="A10" s="1" t="s">
        <v>17</v>
      </c>
      <c r="B10" s="1" t="s">
        <v>16</v>
      </c>
      <c r="C10" s="1" t="str">
        <f t="shared" si="0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143C-AEE6-44E5-9F22-C55C4A077C32}">
  <dimension ref="A1:E6"/>
  <sheetViews>
    <sheetView workbookViewId="0">
      <selection activeCell="F16" sqref="F16"/>
    </sheetView>
  </sheetViews>
  <sheetFormatPr defaultRowHeight="14.4" x14ac:dyDescent="0.3"/>
  <cols>
    <col min="1" max="1" width="12.33203125" bestFit="1" customWidth="1"/>
    <col min="2" max="2" width="20.88671875" bestFit="1" customWidth="1"/>
    <col min="3" max="3" width="12.33203125" bestFit="1" customWidth="1"/>
    <col min="5" max="5" width="13.21875" bestFit="1" customWidth="1"/>
  </cols>
  <sheetData>
    <row r="1" spans="1:5" x14ac:dyDescent="0.3">
      <c r="A1" s="2" t="s">
        <v>41</v>
      </c>
      <c r="B1" s="2" t="s">
        <v>40</v>
      </c>
      <c r="C1" s="2" t="s">
        <v>39</v>
      </c>
      <c r="D1" s="2" t="s">
        <v>38</v>
      </c>
      <c r="E1" s="2" t="s">
        <v>37</v>
      </c>
    </row>
    <row r="2" spans="1:5" x14ac:dyDescent="0.3">
      <c r="A2" s="1" t="s">
        <v>36</v>
      </c>
      <c r="B2" s="1" t="s">
        <v>35</v>
      </c>
      <c r="C2" s="1" t="b">
        <v>1</v>
      </c>
      <c r="D2" s="1" t="b">
        <v>1</v>
      </c>
      <c r="E2" s="1" t="str">
        <f>IF(OR(TRIM(C2)="TRUE",TRIM(D2)="TRUE"),"Quick Access"," ")</f>
        <v>Quick Access</v>
      </c>
    </row>
    <row r="3" spans="1:5" x14ac:dyDescent="0.3">
      <c r="A3" s="1" t="s">
        <v>34</v>
      </c>
      <c r="B3" s="1" t="s">
        <v>33</v>
      </c>
      <c r="C3" s="1" t="b">
        <v>1</v>
      </c>
      <c r="D3" s="1" t="b">
        <v>0</v>
      </c>
      <c r="E3" s="1" t="str">
        <f>IF(OR(TRIM(C3)="TRUE",TRIM(D3)="TRUE"),"Quick Access"," ")</f>
        <v>Quick Access</v>
      </c>
    </row>
    <row r="4" spans="1:5" x14ac:dyDescent="0.3">
      <c r="A4" s="1" t="s">
        <v>32</v>
      </c>
      <c r="B4" s="1" t="s">
        <v>31</v>
      </c>
      <c r="C4" s="1" t="b">
        <v>0</v>
      </c>
      <c r="D4" s="1" t="b">
        <v>0</v>
      </c>
      <c r="E4" s="1" t="str">
        <f>IF(OR(TRIM(C4)="TRUE",TRIM(D4)="TRUE"),"Quick Access"," ")</f>
        <v xml:space="preserve"> </v>
      </c>
    </row>
    <row r="5" spans="1:5" x14ac:dyDescent="0.3">
      <c r="A5" s="1" t="s">
        <v>30</v>
      </c>
      <c r="B5" s="1" t="s">
        <v>29</v>
      </c>
      <c r="C5" s="1" t="b">
        <v>0</v>
      </c>
      <c r="D5" s="1" t="b">
        <v>1</v>
      </c>
      <c r="E5" s="1" t="str">
        <f>IF(OR(TRIM(C5)="TRUE",TRIM(D5)="TRUE"),"Quick Access"," ")</f>
        <v>Quick Access</v>
      </c>
    </row>
    <row r="6" spans="1:5" x14ac:dyDescent="0.3">
      <c r="A6" s="1" t="s">
        <v>28</v>
      </c>
      <c r="B6" s="1" t="s">
        <v>27</v>
      </c>
      <c r="C6" s="1" t="b">
        <v>0</v>
      </c>
      <c r="D6" s="1" t="b">
        <v>1</v>
      </c>
      <c r="E6" s="1" t="str">
        <f>IF(OR(TRIM(C6)="TRUE",TRIM(D6)="TRUE"),"Quick Access"," ")</f>
        <v>Quick Access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6E58-0981-4B28-8CAF-FDC833F24FAE}">
  <dimension ref="A1:D5"/>
  <sheetViews>
    <sheetView workbookViewId="0">
      <selection activeCell="E13" sqref="E13"/>
    </sheetView>
  </sheetViews>
  <sheetFormatPr defaultRowHeight="14.4" x14ac:dyDescent="0.3"/>
  <cols>
    <col min="1" max="1" width="18.21875" bestFit="1" customWidth="1"/>
    <col min="2" max="2" width="16.88671875" bestFit="1" customWidth="1"/>
    <col min="4" max="4" width="9.6640625" bestFit="1" customWidth="1"/>
  </cols>
  <sheetData>
    <row r="1" spans="1:4" x14ac:dyDescent="0.3">
      <c r="A1" s="2" t="s">
        <v>49</v>
      </c>
      <c r="B1" s="2" t="s">
        <v>48</v>
      </c>
      <c r="C1" s="2" t="s">
        <v>47</v>
      </c>
      <c r="D1" s="2" t="s">
        <v>46</v>
      </c>
    </row>
    <row r="2" spans="1:4" x14ac:dyDescent="0.3">
      <c r="A2" s="1" t="s">
        <v>44</v>
      </c>
      <c r="B2" s="1" t="s">
        <v>45</v>
      </c>
      <c r="C2" s="1" t="b">
        <f>_xlfn.XOR(A2="Yes",B2="Cash")</f>
        <v>0</v>
      </c>
      <c r="D2" s="1" t="str">
        <f>IF(TRIM(C2)="TRUE","Suspicious","Normal")</f>
        <v>Normal</v>
      </c>
    </row>
    <row r="3" spans="1:4" x14ac:dyDescent="0.3">
      <c r="A3" s="1" t="s">
        <v>43</v>
      </c>
      <c r="B3" s="1" t="s">
        <v>45</v>
      </c>
      <c r="C3" s="1" t="b">
        <f>_xlfn.XOR(A3="Yes",B3="Cash")</f>
        <v>1</v>
      </c>
      <c r="D3" s="1" t="str">
        <f>IF(TRIM(C3)="TRUE","Suspicious","Normal")</f>
        <v>Suspicious</v>
      </c>
    </row>
    <row r="4" spans="1:4" x14ac:dyDescent="0.3">
      <c r="A4" s="1" t="s">
        <v>44</v>
      </c>
      <c r="B4" s="1" t="s">
        <v>42</v>
      </c>
      <c r="C4" s="1" t="b">
        <f>_xlfn.XOR(A4="Yes",B4="Cash")</f>
        <v>1</v>
      </c>
      <c r="D4" s="1" t="str">
        <f>IF(TRIM(C4)="TRUE","Suspicious","Normal")</f>
        <v>Suspicious</v>
      </c>
    </row>
    <row r="5" spans="1:4" x14ac:dyDescent="0.3">
      <c r="A5" s="1" t="s">
        <v>43</v>
      </c>
      <c r="B5" s="1" t="s">
        <v>42</v>
      </c>
      <c r="C5" s="1" t="b">
        <f>_xlfn.XOR(A5="Yes",B5="Cash")</f>
        <v>0</v>
      </c>
      <c r="D5" s="1" t="str">
        <f>IF(TRIM(C5)="TRUE","Suspicious","Normal")</f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2026-07-17T13:24:25Z</dcterms:created>
  <dcterms:modified xsi:type="dcterms:W3CDTF">2026-07-19T20:19:54Z</dcterms:modified>
</cp:coreProperties>
</file>