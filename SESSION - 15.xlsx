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a7d4e89c7bcea1a6/Desktop/"/>
    </mc:Choice>
  </mc:AlternateContent>
  <xr:revisionPtr revIDLastSave="0" documentId="8_{26D89A66-4768-479A-AC2A-DAF707BD01DA}" xr6:coauthVersionLast="47" xr6:coauthVersionMax="47" xr10:uidLastSave="{00000000-0000-0000-0000-000000000000}"/>
  <bookViews>
    <workbookView xWindow="-108" yWindow="-108" windowWidth="23256" windowHeight="12456" activeTab="4" xr2:uid="{2EBBF24F-1679-4A59-9BED-36BBA3DC180E}"/>
  </bookViews>
  <sheets>
    <sheet name="IPL MATCH DATA" sheetId="1" r:id="rId1"/>
    <sheet name="P-1" sheetId="3" r:id="rId2"/>
    <sheet name="P-2" sheetId="4" r:id="rId3"/>
    <sheet name="P-3" sheetId="5" r:id="rId4"/>
    <sheet name="DASHBOARD" sheetId="6" r:id="rId5"/>
  </sheets>
  <definedNames>
    <definedName name="NativeTimeline_Match_Date">#N/A</definedName>
    <definedName name="Slicer_Venue">#N/A</definedName>
  </definedNames>
  <calcPr calcId="191029"/>
  <pivotCaches>
    <pivotCache cacheId="9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<sst xmlns="http://schemas.openxmlformats.org/spreadsheetml/2006/main" count="104" uniqueCount="32">
  <si>
    <t>Match Date</t>
  </si>
  <si>
    <t>Team 1</t>
  </si>
  <si>
    <t>Team 2</t>
  </si>
  <si>
    <t>Venue</t>
  </si>
  <si>
    <t>Result</t>
  </si>
  <si>
    <t>Chennai Super Kings</t>
  </si>
  <si>
    <t>Royal Challengers Bengaluru</t>
  </si>
  <si>
    <t>Chennai</t>
  </si>
  <si>
    <t>Punjab Kings</t>
  </si>
  <si>
    <t>Delhi Capitals</t>
  </si>
  <si>
    <t>Mohali</t>
  </si>
  <si>
    <t>Kolkata Knight Riders</t>
  </si>
  <si>
    <t>Sunrisers Hyderabad</t>
  </si>
  <si>
    <t>Kolkata</t>
  </si>
  <si>
    <t>Rajasthan Royals</t>
  </si>
  <si>
    <t>Lucknow Super Giants</t>
  </si>
  <si>
    <t>Jaipur</t>
  </si>
  <si>
    <t>Gujarat Titans</t>
  </si>
  <si>
    <t>Mumbai Indians</t>
  </si>
  <si>
    <t>Ahmedabad</t>
  </si>
  <si>
    <t>Hyderabad</t>
  </si>
  <si>
    <t>Mumbai</t>
  </si>
  <si>
    <t>Delhi</t>
  </si>
  <si>
    <t>Bengaluru</t>
  </si>
  <si>
    <t>Lucknow</t>
  </si>
  <si>
    <t>Team</t>
  </si>
  <si>
    <t>Column Labels</t>
  </si>
  <si>
    <t xml:space="preserve">Count of Match </t>
  </si>
  <si>
    <t>2024</t>
  </si>
  <si>
    <t>2025</t>
  </si>
  <si>
    <t>2026</t>
  </si>
  <si>
    <t>Count of 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</si>
</sst>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Segoe UI"/>
    </font>
  </fonts>
  <fills count="4">
    <fill>
      <patternFill patternType="none"/>
    </fill>
    <fill>
      <patternFill patternType="gray125"/>
    </fill>
    <fill>
      <patternFill patternType="solid">
        <fgColor rgb="FF1F4E78"/>
        <bgColor rgb="FF1F4E78"/>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- 16(A).xlsx]P-1!PivotTable3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Matches</a:t>
            </a:r>
            <a:r>
              <a:rPr lang="en-US" sz="1600" b="1" baseline="0">
                <a:solidFill>
                  <a:schemeClr val="tx1"/>
                </a:solidFill>
              </a:rPr>
              <a:t> Won by each team</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'P-1'!$B$3</c:f>
              <c:strCache>
                <c:ptCount val="1"/>
                <c:pt idx="0">
                  <c:v>Total</c:v>
                </c:pt>
              </c:strCache>
            </c:strRef>
          </c:tx>
          <c:spPr>
            <a:solidFill>
              <a:schemeClr val="accent1"/>
            </a:solidFill>
            <a:ln>
              <a:noFill/>
            </a:ln>
            <a:effectLst/>
          </c:spPr>
          <c:invertIfNegative val="0"/>
          <c:cat>
            <c:strRef>
              <c:f>'P-1'!$A$4:$A$13</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'P-1'!$B$4:$B$13</c:f>
              <c:numCache>
                <c:formatCode>General</c:formatCode>
                <c:ptCount val="10"/>
                <c:pt idx="0">
                  <c:v>2</c:v>
                </c:pt>
                <c:pt idx="1">
                  <c:v>2</c:v>
                </c:pt>
                <c:pt idx="2">
                  <c:v>1</c:v>
                </c:pt>
                <c:pt idx="3">
                  <c:v>2</c:v>
                </c:pt>
                <c:pt idx="4">
                  <c:v>1</c:v>
                </c:pt>
                <c:pt idx="5">
                  <c:v>3</c:v>
                </c:pt>
                <c:pt idx="6">
                  <c:v>1</c:v>
                </c:pt>
                <c:pt idx="7">
                  <c:v>3</c:v>
                </c:pt>
                <c:pt idx="8">
                  <c:v>2</c:v>
                </c:pt>
                <c:pt idx="9">
                  <c:v>1</c:v>
                </c:pt>
              </c:numCache>
            </c:numRef>
          </c:val>
          <c:extLst>
            <c:ext xmlns:c16="http://schemas.microsoft.com/office/drawing/2014/chart" uri="{C3380CC4-5D6E-409C-BE32-E72D297353CC}">
              <c16:uniqueId val="{00000019-F40D-4996-8630-F689611D8D09}"/>
            </c:ext>
          </c:extLst>
        </c:ser>
        <c:dLbls>
          <c:showLegendKey val="0"/>
          <c:showVal val="0"/>
          <c:showCatName val="0"/>
          <c:showSerName val="0"/>
          <c:showPercent val="0"/>
          <c:showBubbleSize val="0"/>
        </c:dLbls>
        <c:gapWidth val="182"/>
        <c:axId val="784690672"/>
        <c:axId val="784696912"/>
      </c:barChart>
      <c:catAx>
        <c:axId val="78469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4696912"/>
        <c:crosses val="autoZero"/>
        <c:auto val="1"/>
        <c:lblAlgn val="ctr"/>
        <c:lblOffset val="100"/>
        <c:noMultiLvlLbl val="0"/>
      </c:catAx>
      <c:valAx>
        <c:axId val="784696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469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- 16(A).xlsx]P-2!PivotTable4</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Match</a:t>
            </a:r>
            <a:r>
              <a:rPr lang="en-US" sz="1600" b="1" baseline="0">
                <a:solidFill>
                  <a:schemeClr val="tx1"/>
                </a:solidFill>
              </a:rPr>
              <a:t> over time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'P-2'!$A$4:$A$6</c:f>
              <c:strCache>
                <c:ptCount val="3"/>
                <c:pt idx="0">
                  <c:v>2024</c:v>
                </c:pt>
                <c:pt idx="1">
                  <c:v>2025</c:v>
                </c:pt>
                <c:pt idx="2">
                  <c:v>2026</c:v>
                </c:pt>
              </c:strCache>
            </c:strRef>
          </c:cat>
          <c:val>
            <c:numRef>
              <c:f>'P-2'!$B$4:$B$6</c:f>
              <c:numCache>
                <c:formatCode>General</c:formatCode>
                <c:ptCount val="3"/>
                <c:pt idx="0">
                  <c:v>7</c:v>
                </c:pt>
                <c:pt idx="1">
                  <c:v>5</c:v>
                </c:pt>
                <c:pt idx="2">
                  <c:v>6</c:v>
                </c:pt>
              </c:numCache>
            </c:numRef>
          </c:val>
          <c:smooth val="0"/>
          <c:extLst>
            <c:ext xmlns:c16="http://schemas.microsoft.com/office/drawing/2014/chart" uri="{C3380CC4-5D6E-409C-BE32-E72D297353CC}">
              <c16:uniqueId val="{00000006-1E95-48F9-81F5-F542F42C991A}"/>
            </c:ext>
          </c:extLst>
        </c:ser>
        <c:dLbls>
          <c:showLegendKey val="0"/>
          <c:showVal val="0"/>
          <c:showCatName val="0"/>
          <c:showSerName val="0"/>
          <c:showPercent val="0"/>
          <c:showBubbleSize val="0"/>
        </c:dLbls>
        <c:marker val="1"/>
        <c:smooth val="0"/>
        <c:axId val="921272144"/>
        <c:axId val="921275504"/>
      </c:lineChart>
      <c:catAx>
        <c:axId val="92127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75504"/>
        <c:crosses val="autoZero"/>
        <c:auto val="1"/>
        <c:lblAlgn val="ctr"/>
        <c:lblOffset val="100"/>
        <c:noMultiLvlLbl val="0"/>
      </c:catAx>
      <c:valAx>
        <c:axId val="92127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7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- 16(A).xlsx]P-3!PivotTable5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Wins</a:t>
            </a:r>
            <a:r>
              <a:rPr lang="en-US" sz="1600" b="1" baseline="0">
                <a:solidFill>
                  <a:schemeClr val="tx1"/>
                </a:solidFill>
              </a:rPr>
              <a:t> per Team per Year</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'P-3'!$B$3:$B$5</c:f>
              <c:strCache>
                <c:ptCount val="1"/>
                <c:pt idx="0">
                  <c:v>2024</c:v>
                </c:pt>
              </c:strCache>
            </c:strRef>
          </c:tx>
          <c:spPr>
            <a:solidFill>
              <a:schemeClr val="accent1"/>
            </a:solidFill>
            <a:ln>
              <a:noFill/>
            </a:ln>
            <a:effectLst/>
          </c:spPr>
          <c:invertIfNegative val="0"/>
          <c:cat>
            <c:strRef>
              <c:f>'P-3'!$A$6:$A$9</c:f>
              <c:strCache>
                <c:ptCount val="4"/>
                <c:pt idx="0">
                  <c:v>Mumbai Indians</c:v>
                </c:pt>
                <c:pt idx="1">
                  <c:v>Rajasthan Royals</c:v>
                </c:pt>
                <c:pt idx="2">
                  <c:v>Sunrisers Hyderabad</c:v>
                </c:pt>
                <c:pt idx="3">
                  <c:v>Chennai Super Kings</c:v>
                </c:pt>
              </c:strCache>
            </c:strRef>
          </c:cat>
          <c:val>
            <c:numRef>
              <c:f>'P-3'!$B$6:$B$9</c:f>
              <c:numCache>
                <c:formatCode>General</c:formatCode>
                <c:ptCount val="4"/>
                <c:pt idx="1">
                  <c:v>1</c:v>
                </c:pt>
                <c:pt idx="2">
                  <c:v>1</c:v>
                </c:pt>
                <c:pt idx="3">
                  <c:v>2</c:v>
                </c:pt>
              </c:numCache>
            </c:numRef>
          </c:val>
          <c:extLst>
            <c:ext xmlns:c16="http://schemas.microsoft.com/office/drawing/2014/chart" uri="{C3380CC4-5D6E-409C-BE32-E72D297353CC}">
              <c16:uniqueId val="{00000000-EC6F-4F98-AA24-04DE4888BBF6}"/>
            </c:ext>
          </c:extLst>
        </c:ser>
        <c:ser>
          <c:idx val="1"/>
          <c:order val="1"/>
          <c:tx>
            <c:strRef>
              <c:f>'P-3'!$C$3:$C$5</c:f>
              <c:strCache>
                <c:ptCount val="1"/>
                <c:pt idx="0">
                  <c:v>2025</c:v>
                </c:pt>
              </c:strCache>
            </c:strRef>
          </c:tx>
          <c:spPr>
            <a:solidFill>
              <a:schemeClr val="accent2"/>
            </a:solidFill>
            <a:ln>
              <a:noFill/>
            </a:ln>
            <a:effectLst/>
          </c:spPr>
          <c:invertIfNegative val="0"/>
          <c:cat>
            <c:strRef>
              <c:f>'P-3'!$A$6:$A$9</c:f>
              <c:strCache>
                <c:ptCount val="4"/>
                <c:pt idx="0">
                  <c:v>Mumbai Indians</c:v>
                </c:pt>
                <c:pt idx="1">
                  <c:v>Rajasthan Royals</c:v>
                </c:pt>
                <c:pt idx="2">
                  <c:v>Sunrisers Hyderabad</c:v>
                </c:pt>
                <c:pt idx="3">
                  <c:v>Chennai Super Kings</c:v>
                </c:pt>
              </c:strCache>
            </c:strRef>
          </c:cat>
          <c:val>
            <c:numRef>
              <c:f>'P-3'!$C$6:$C$9</c:f>
              <c:numCache>
                <c:formatCode>General</c:formatCode>
                <c:ptCount val="4"/>
                <c:pt idx="0">
                  <c:v>2</c:v>
                </c:pt>
                <c:pt idx="1">
                  <c:v>1</c:v>
                </c:pt>
                <c:pt idx="2">
                  <c:v>1</c:v>
                </c:pt>
              </c:numCache>
            </c:numRef>
          </c:val>
          <c:extLst>
            <c:ext xmlns:c16="http://schemas.microsoft.com/office/drawing/2014/chart" uri="{C3380CC4-5D6E-409C-BE32-E72D297353CC}">
              <c16:uniqueId val="{00000001-EC6F-4F98-AA24-04DE4888BBF6}"/>
            </c:ext>
          </c:extLst>
        </c:ser>
        <c:ser>
          <c:idx val="2"/>
          <c:order val="2"/>
          <c:tx>
            <c:strRef>
              <c:f>'P-3'!$D$3:$D$5</c:f>
              <c:strCache>
                <c:ptCount val="1"/>
                <c:pt idx="0">
                  <c:v>2026</c:v>
                </c:pt>
              </c:strCache>
            </c:strRef>
          </c:tx>
          <c:spPr>
            <a:solidFill>
              <a:schemeClr val="accent3"/>
            </a:solidFill>
            <a:ln>
              <a:noFill/>
            </a:ln>
            <a:effectLst/>
          </c:spPr>
          <c:invertIfNegative val="0"/>
          <c:cat>
            <c:strRef>
              <c:f>'P-3'!$A$6:$A$9</c:f>
              <c:strCache>
                <c:ptCount val="4"/>
                <c:pt idx="0">
                  <c:v>Mumbai Indians</c:v>
                </c:pt>
                <c:pt idx="1">
                  <c:v>Rajasthan Royals</c:v>
                </c:pt>
                <c:pt idx="2">
                  <c:v>Sunrisers Hyderabad</c:v>
                </c:pt>
                <c:pt idx="3">
                  <c:v>Chennai Super Kings</c:v>
                </c:pt>
              </c:strCache>
            </c:strRef>
          </c:cat>
          <c:val>
            <c:numRef>
              <c:f>'P-3'!$D$6:$D$9</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2-EC6F-4F98-AA24-04DE4888BBF6}"/>
            </c:ext>
          </c:extLst>
        </c:ser>
        <c:dLbls>
          <c:showLegendKey val="0"/>
          <c:showVal val="0"/>
          <c:showCatName val="0"/>
          <c:showSerName val="0"/>
          <c:showPercent val="0"/>
          <c:showBubbleSize val="0"/>
        </c:dLbls>
        <c:gapWidth val="150"/>
        <c:overlap val="100"/>
        <c:axId val="921300464"/>
        <c:axId val="921301424"/>
      </c:barChart>
      <c:catAx>
        <c:axId val="92130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01424"/>
        <c:crosses val="autoZero"/>
        <c:auto val="1"/>
        <c:lblAlgn val="ctr"/>
        <c:lblOffset val="100"/>
        <c:noMultiLvlLbl val="0"/>
      </c:catAx>
      <c:valAx>
        <c:axId val="92130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0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- 16(A).xlsx]P-1!PivotTable3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Matches Won by each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'P-1'!$B$3</c:f>
              <c:strCache>
                <c:ptCount val="1"/>
                <c:pt idx="0">
                  <c:v>Total</c:v>
                </c:pt>
              </c:strCache>
            </c:strRef>
          </c:tx>
          <c:spPr>
            <a:solidFill>
              <a:schemeClr val="accent1"/>
            </a:solidFill>
            <a:ln>
              <a:noFill/>
            </a:ln>
            <a:effectLst/>
          </c:spPr>
          <c:invertIfNegative val="0"/>
          <c:cat>
            <c:strRef>
              <c:f>'P-1'!$A$4:$A$13</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'P-1'!$B$4:$B$13</c:f>
              <c:numCache>
                <c:formatCode>General</c:formatCode>
                <c:ptCount val="10"/>
                <c:pt idx="0">
                  <c:v>2</c:v>
                </c:pt>
                <c:pt idx="1">
                  <c:v>2</c:v>
                </c:pt>
                <c:pt idx="2">
                  <c:v>1</c:v>
                </c:pt>
                <c:pt idx="3">
                  <c:v>2</c:v>
                </c:pt>
                <c:pt idx="4">
                  <c:v>1</c:v>
                </c:pt>
                <c:pt idx="5">
                  <c:v>3</c:v>
                </c:pt>
                <c:pt idx="6">
                  <c:v>1</c:v>
                </c:pt>
                <c:pt idx="7">
                  <c:v>3</c:v>
                </c:pt>
                <c:pt idx="8">
                  <c:v>2</c:v>
                </c:pt>
                <c:pt idx="9">
                  <c:v>1</c:v>
                </c:pt>
              </c:numCache>
            </c:numRef>
          </c:val>
          <c:extLst>
            <c:ext xmlns:c16="http://schemas.microsoft.com/office/drawing/2014/chart" uri="{C3380CC4-5D6E-409C-BE32-E72D297353CC}">
              <c16:uniqueId val="{00000000-53EB-4272-BCDE-B8843FDD788A}"/>
            </c:ext>
          </c:extLst>
        </c:ser>
        <c:dLbls>
          <c:showLegendKey val="0"/>
          <c:showVal val="0"/>
          <c:showCatName val="0"/>
          <c:showSerName val="0"/>
          <c:showPercent val="0"/>
          <c:showBubbleSize val="0"/>
        </c:dLbls>
        <c:gapWidth val="182"/>
        <c:axId val="784690672"/>
        <c:axId val="784696912"/>
      </c:barChart>
      <c:catAx>
        <c:axId val="78469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4696912"/>
        <c:crosses val="autoZero"/>
        <c:auto val="1"/>
        <c:lblAlgn val="ctr"/>
        <c:lblOffset val="100"/>
        <c:noMultiLvlLbl val="0"/>
      </c:catAx>
      <c:valAx>
        <c:axId val="784696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469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- 16(A).xlsx]P-2!PivotTable4</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Match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'P-2'!$A$4:$A$6</c:f>
              <c:strCache>
                <c:ptCount val="3"/>
                <c:pt idx="0">
                  <c:v>2024</c:v>
                </c:pt>
                <c:pt idx="1">
                  <c:v>2025</c:v>
                </c:pt>
                <c:pt idx="2">
                  <c:v>2026</c:v>
                </c:pt>
              </c:strCache>
            </c:strRef>
          </c:cat>
          <c:val>
            <c:numRef>
              <c:f>'P-2'!$B$4:$B$6</c:f>
              <c:numCache>
                <c:formatCode>General</c:formatCode>
                <c:ptCount val="3"/>
                <c:pt idx="0">
                  <c:v>7</c:v>
                </c:pt>
                <c:pt idx="1">
                  <c:v>5</c:v>
                </c:pt>
                <c:pt idx="2">
                  <c:v>6</c:v>
                </c:pt>
              </c:numCache>
            </c:numRef>
          </c:val>
          <c:smooth val="0"/>
          <c:extLst>
            <c:ext xmlns:c16="http://schemas.microsoft.com/office/drawing/2014/chart" uri="{C3380CC4-5D6E-409C-BE32-E72D297353CC}">
              <c16:uniqueId val="{00000000-E49C-4E19-A1FB-6FB25ED71959}"/>
            </c:ext>
          </c:extLst>
        </c:ser>
        <c:dLbls>
          <c:showLegendKey val="0"/>
          <c:showVal val="0"/>
          <c:showCatName val="0"/>
          <c:showSerName val="0"/>
          <c:showPercent val="0"/>
          <c:showBubbleSize val="0"/>
        </c:dLbls>
        <c:marker val="1"/>
        <c:smooth val="0"/>
        <c:axId val="921272144"/>
        <c:axId val="921275504"/>
      </c:lineChart>
      <c:catAx>
        <c:axId val="92127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275504"/>
        <c:crosses val="autoZero"/>
        <c:auto val="1"/>
        <c:lblAlgn val="ctr"/>
        <c:lblOffset val="100"/>
        <c:noMultiLvlLbl val="0"/>
      </c:catAx>
      <c:valAx>
        <c:axId val="92127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27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- 16(A).xlsx]P-3!PivotTable5</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Wins per Team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'P-3'!$B$3:$B$5</c:f>
              <c:strCache>
                <c:ptCount val="1"/>
                <c:pt idx="0">
                  <c:v>2024</c:v>
                </c:pt>
              </c:strCache>
            </c:strRef>
          </c:tx>
          <c:spPr>
            <a:solidFill>
              <a:schemeClr val="accent1"/>
            </a:solidFill>
            <a:ln>
              <a:noFill/>
            </a:ln>
            <a:effectLst/>
          </c:spPr>
          <c:invertIfNegative val="0"/>
          <c:cat>
            <c:strRef>
              <c:f>'P-3'!$A$6:$A$9</c:f>
              <c:strCache>
                <c:ptCount val="4"/>
                <c:pt idx="0">
                  <c:v>Mumbai Indians</c:v>
                </c:pt>
                <c:pt idx="1">
                  <c:v>Rajasthan Royals</c:v>
                </c:pt>
                <c:pt idx="2">
                  <c:v>Sunrisers Hyderabad</c:v>
                </c:pt>
                <c:pt idx="3">
                  <c:v>Chennai Super Kings</c:v>
                </c:pt>
              </c:strCache>
            </c:strRef>
          </c:cat>
          <c:val>
            <c:numRef>
              <c:f>'P-3'!$B$6:$B$9</c:f>
              <c:numCache>
                <c:formatCode>General</c:formatCode>
                <c:ptCount val="4"/>
                <c:pt idx="1">
                  <c:v>1</c:v>
                </c:pt>
                <c:pt idx="2">
                  <c:v>1</c:v>
                </c:pt>
                <c:pt idx="3">
                  <c:v>2</c:v>
                </c:pt>
              </c:numCache>
            </c:numRef>
          </c:val>
          <c:extLst>
            <c:ext xmlns:c16="http://schemas.microsoft.com/office/drawing/2014/chart" uri="{C3380CC4-5D6E-409C-BE32-E72D297353CC}">
              <c16:uniqueId val="{00000000-9D53-4FD6-9D3D-4C303EE776E9}"/>
            </c:ext>
          </c:extLst>
        </c:ser>
        <c:ser>
          <c:idx val="1"/>
          <c:order val="1"/>
          <c:tx>
            <c:strRef>
              <c:f>'P-3'!$C$3:$C$5</c:f>
              <c:strCache>
                <c:ptCount val="1"/>
                <c:pt idx="0">
                  <c:v>2025</c:v>
                </c:pt>
              </c:strCache>
            </c:strRef>
          </c:tx>
          <c:spPr>
            <a:solidFill>
              <a:schemeClr val="accent2"/>
            </a:solidFill>
            <a:ln>
              <a:noFill/>
            </a:ln>
            <a:effectLst/>
          </c:spPr>
          <c:invertIfNegative val="0"/>
          <c:cat>
            <c:strRef>
              <c:f>'P-3'!$A$6:$A$9</c:f>
              <c:strCache>
                <c:ptCount val="4"/>
                <c:pt idx="0">
                  <c:v>Mumbai Indians</c:v>
                </c:pt>
                <c:pt idx="1">
                  <c:v>Rajasthan Royals</c:v>
                </c:pt>
                <c:pt idx="2">
                  <c:v>Sunrisers Hyderabad</c:v>
                </c:pt>
                <c:pt idx="3">
                  <c:v>Chennai Super Kings</c:v>
                </c:pt>
              </c:strCache>
            </c:strRef>
          </c:cat>
          <c:val>
            <c:numRef>
              <c:f>'P-3'!$C$6:$C$9</c:f>
              <c:numCache>
                <c:formatCode>General</c:formatCode>
                <c:ptCount val="4"/>
                <c:pt idx="0">
                  <c:v>2</c:v>
                </c:pt>
                <c:pt idx="1">
                  <c:v>1</c:v>
                </c:pt>
                <c:pt idx="2">
                  <c:v>1</c:v>
                </c:pt>
              </c:numCache>
            </c:numRef>
          </c:val>
          <c:extLst>
            <c:ext xmlns:c16="http://schemas.microsoft.com/office/drawing/2014/chart" uri="{C3380CC4-5D6E-409C-BE32-E72D297353CC}">
              <c16:uniqueId val="{00000001-9D53-4FD6-9D3D-4C303EE776E9}"/>
            </c:ext>
          </c:extLst>
        </c:ser>
        <c:ser>
          <c:idx val="2"/>
          <c:order val="2"/>
          <c:tx>
            <c:strRef>
              <c:f>'P-3'!$D$3:$D$5</c:f>
              <c:strCache>
                <c:ptCount val="1"/>
                <c:pt idx="0">
                  <c:v>2026</c:v>
                </c:pt>
              </c:strCache>
            </c:strRef>
          </c:tx>
          <c:spPr>
            <a:solidFill>
              <a:schemeClr val="accent3"/>
            </a:solidFill>
            <a:ln>
              <a:noFill/>
            </a:ln>
            <a:effectLst/>
          </c:spPr>
          <c:invertIfNegative val="0"/>
          <c:cat>
            <c:strRef>
              <c:f>'P-3'!$A$6:$A$9</c:f>
              <c:strCache>
                <c:ptCount val="4"/>
                <c:pt idx="0">
                  <c:v>Mumbai Indians</c:v>
                </c:pt>
                <c:pt idx="1">
                  <c:v>Rajasthan Royals</c:v>
                </c:pt>
                <c:pt idx="2">
                  <c:v>Sunrisers Hyderabad</c:v>
                </c:pt>
                <c:pt idx="3">
                  <c:v>Chennai Super Kings</c:v>
                </c:pt>
              </c:strCache>
            </c:strRef>
          </c:cat>
          <c:val>
            <c:numRef>
              <c:f>'P-3'!$D$6:$D$9</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2-9D53-4FD6-9D3D-4C303EE776E9}"/>
            </c:ext>
          </c:extLst>
        </c:ser>
        <c:dLbls>
          <c:showLegendKey val="0"/>
          <c:showVal val="0"/>
          <c:showCatName val="0"/>
          <c:showSerName val="0"/>
          <c:showPercent val="0"/>
          <c:showBubbleSize val="0"/>
        </c:dLbls>
        <c:gapWidth val="150"/>
        <c:overlap val="100"/>
        <c:axId val="921300464"/>
        <c:axId val="921301424"/>
      </c:barChart>
      <c:catAx>
        <c:axId val="92130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301424"/>
        <c:crosses val="autoZero"/>
        <c:auto val="1"/>
        <c:lblAlgn val="ctr"/>
        <c:lblOffset val="100"/>
        <c:noMultiLvlLbl val="0"/>
      </c:catAx>
      <c:valAx>
        <c:axId val="92130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30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289560</xdr:colOff>
      <xdr:row>6</xdr:row>
      <xdr:rowOff>45720</xdr:rowOff>
    </xdr:from>
    <xdr:to>
      <xdr:col>9</xdr:col>
      <xdr:colOff>594360</xdr:colOff>
      <xdr:row>21</xdr:row>
      <xdr:rowOff>45720</xdr:rowOff>
    </xdr:to>
    <xdr:graphicFrame macro="">
      <xdr:nvGraphicFramePr>
        <xdr:cNvPr id="2" name="Chart 1">
          <a:extLst>
            <a:ext uri="{FF2B5EF4-FFF2-40B4-BE49-F238E27FC236}">
              <a16:creationId xmlns:a16="http://schemas.microsoft.com/office/drawing/2014/main" id="{088DC436-8E44-B8CA-0061-212653BA9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281940</xdr:colOff>
      <xdr:row>5</xdr:row>
      <xdr:rowOff>137160</xdr:rowOff>
    </xdr:from>
    <xdr:to>
      <xdr:col>13</xdr:col>
      <xdr:colOff>281940</xdr:colOff>
      <xdr:row>19</xdr:row>
      <xdr:rowOff>158115</xdr:rowOff>
    </xdr:to>
    <mc:AlternateContent xmlns:mc="http://schemas.openxmlformats.org/markup-compatibility/2006">
      <mc:Choice xmlns:a14="http://schemas.microsoft.com/office/drawing/2010/main" Requires="a14">
        <xdr:graphicFrame macro="">
          <xdr:nvGraphicFramePr>
            <xdr:cNvPr id="3" name="Venue">
              <a:extLst>
                <a:ext uri="{FF2B5EF4-FFF2-40B4-BE49-F238E27FC236}">
                  <a16:creationId xmlns:a16="http://schemas.microsoft.com/office/drawing/2014/main" id="{E6541241-1B1F-988F-A43E-79FBCAFFD626}"/>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7741920" y="1051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441960</xdr:colOff>
      <xdr:row>6</xdr:row>
      <xdr:rowOff>45720</xdr:rowOff>
    </xdr:from>
    <xdr:to>
      <xdr:col>12</xdr:col>
      <xdr:colOff>137160</xdr:colOff>
      <xdr:row>21</xdr:row>
      <xdr:rowOff>45720</xdr:rowOff>
    </xdr:to>
    <xdr:graphicFrame macro="">
      <xdr:nvGraphicFramePr>
        <xdr:cNvPr id="2" name="Chart 1">
          <a:extLst>
            <a:ext uri="{FF2B5EF4-FFF2-40B4-BE49-F238E27FC236}">
              <a16:creationId xmlns:a16="http://schemas.microsoft.com/office/drawing/2014/main" id="{C6E25560-A0B9-125B-7B33-4D6B1A57F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419100</xdr:colOff>
      <xdr:row>9</xdr:row>
      <xdr:rowOff>175260</xdr:rowOff>
    </xdr:from>
    <xdr:to>
      <xdr:col>18</xdr:col>
      <xdr:colOff>99060</xdr:colOff>
      <xdr:row>17</xdr:row>
      <xdr:rowOff>83820</xdr:rowOff>
    </xdr:to>
    <mc:AlternateContent xmlns:mc="http://schemas.openxmlformats.org/markup-compatibility/2006">
      <mc:Choice xmlns:tsle="http://schemas.microsoft.com/office/drawing/2012/timeslicer" Requires="tsle">
        <xdr:graphicFrame macro="">
          <xdr:nvGraphicFramePr>
            <xdr:cNvPr id="4" name="Match Date">
              <a:extLst>
                <a:ext uri="{FF2B5EF4-FFF2-40B4-BE49-F238E27FC236}">
                  <a16:creationId xmlns:a16="http://schemas.microsoft.com/office/drawing/2014/main" id="{ECD008A8-F609-069B-995C-2ED1BD63A46B}"/>
                </a:ext>
              </a:extLst>
            </xdr:cNvPr>
            <xdr:cNvGraphicFramePr/>
          </xdr:nvGraphicFramePr>
          <xdr:xfrm>
            <a:off x="0" y="0"/>
            <a:ext cx="0" cy="0"/>
          </xdr:xfrm>
          <a:graphic>
            <a:graphicData uri="http://schemas.microsoft.com/office/drawing/2012/timeslicer">
              <tsle:timeslicer xmlns:tsle="http://schemas.microsoft.com/office/drawing/2012/timeslicer" name="Match Date"/>
            </a:graphicData>
          </a:graphic>
        </xdr:graphicFrame>
      </mc:Choice>
      <mc:Fallback>
        <xdr:sp macro="" textlink="">
          <xdr:nvSpPr>
            <xdr:cNvPr id="0" name=""/>
            <xdr:cNvSpPr>
              <a:spLocks noTextEdit="1"/>
            </xdr:cNvSpPr>
          </xdr:nvSpPr>
          <xdr:spPr>
            <a:xfrm>
              <a:off x="7985760" y="18211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xdr:colOff>
      <xdr:row>6</xdr:row>
      <xdr:rowOff>7620</xdr:rowOff>
    </xdr:from>
    <xdr:to>
      <xdr:col>12</xdr:col>
      <xdr:colOff>480060</xdr:colOff>
      <xdr:row>21</xdr:row>
      <xdr:rowOff>7620</xdr:rowOff>
    </xdr:to>
    <xdr:graphicFrame macro="">
      <xdr:nvGraphicFramePr>
        <xdr:cNvPr id="2" name="Chart 1">
          <a:extLst>
            <a:ext uri="{FF2B5EF4-FFF2-40B4-BE49-F238E27FC236}">
              <a16:creationId xmlns:a16="http://schemas.microsoft.com/office/drawing/2014/main" id="{5AF923AC-DAA4-AF8F-40AC-680C552C3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259080</xdr:colOff>
      <xdr:row>0</xdr:row>
      <xdr:rowOff>99060</xdr:rowOff>
    </xdr:from>
    <xdr:to>
      <xdr:col>7</xdr:col>
      <xdr:colOff>152400</xdr:colOff>
      <xdr:row>2</xdr:row>
      <xdr:rowOff>99060</xdr:rowOff>
    </xdr:to>
    <xdr:sp macro="" textlink="">
      <xdr:nvSpPr>
        <xdr:cNvPr id="2" name="Rectangle: Rounded Corners 1">
          <a:extLst>
            <a:ext uri="{FF2B5EF4-FFF2-40B4-BE49-F238E27FC236}">
              <a16:creationId xmlns:a16="http://schemas.microsoft.com/office/drawing/2014/main" id="{18241317-083C-BE81-CC69-212C3C41A179}"/>
            </a:ext>
          </a:extLst>
        </xdr:cNvPr>
        <xdr:cNvSpPr/>
      </xdr:nvSpPr>
      <xdr:spPr>
        <a:xfrm>
          <a:off x="259080" y="99060"/>
          <a:ext cx="4160520" cy="365760"/>
        </a:xfrm>
        <a:prstGeom prst="round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t>                IPL MATCH</a:t>
          </a:r>
          <a:r>
            <a:rPr lang="en-US" sz="1600" b="1" baseline="0"/>
            <a:t> ANALYSIS</a:t>
          </a:r>
          <a:r>
            <a:rPr lang="en-US" sz="1600" b="1"/>
            <a:t> DASHBOARD</a:t>
          </a:r>
        </a:p>
      </xdr:txBody>
    </xdr:sp>
    <xdr:clientData/>
  </xdr:twoCellAnchor>
  <xdr:twoCellAnchor>
    <xdr:from>
      <xdr:col>0</xdr:col>
      <xdr:colOff>106680</xdr:colOff>
      <xdr:row>5</xdr:row>
      <xdr:rowOff>22860</xdr:rowOff>
    </xdr:from>
    <xdr:to>
      <xdr:col>7</xdr:col>
      <xdr:colOff>411480</xdr:colOff>
      <xdr:row>20</xdr:row>
      <xdr:rowOff>22860</xdr:rowOff>
    </xdr:to>
    <xdr:graphicFrame macro="">
      <xdr:nvGraphicFramePr>
        <xdr:cNvPr id="3" name="Chart 2">
          <a:extLst>
            <a:ext uri="{FF2B5EF4-FFF2-40B4-BE49-F238E27FC236}">
              <a16:creationId xmlns:a16="http://schemas.microsoft.com/office/drawing/2014/main" id="{2978F97C-BB95-480B-86B3-08A72A6C7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182880</xdr:colOff>
      <xdr:row>5</xdr:row>
      <xdr:rowOff>22860</xdr:rowOff>
    </xdr:from>
    <xdr:to>
      <xdr:col>15</xdr:col>
      <xdr:colOff>487680</xdr:colOff>
      <xdr:row>20</xdr:row>
      <xdr:rowOff>22860</xdr:rowOff>
    </xdr:to>
    <xdr:graphicFrame macro="">
      <xdr:nvGraphicFramePr>
        <xdr:cNvPr id="4" name="Chart 3">
          <a:extLst>
            <a:ext uri="{FF2B5EF4-FFF2-40B4-BE49-F238E27FC236}">
              <a16:creationId xmlns:a16="http://schemas.microsoft.com/office/drawing/2014/main" id="{88950454-F2B3-46C2-B2B3-EE4316870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198120</xdr:colOff>
      <xdr:row>21</xdr:row>
      <xdr:rowOff>114300</xdr:rowOff>
    </xdr:from>
    <xdr:to>
      <xdr:col>11</xdr:col>
      <xdr:colOff>502920</xdr:colOff>
      <xdr:row>36</xdr:row>
      <xdr:rowOff>114300</xdr:rowOff>
    </xdr:to>
    <xdr:graphicFrame macro="">
      <xdr:nvGraphicFramePr>
        <xdr:cNvPr id="5" name="Chart 4">
          <a:extLst>
            <a:ext uri="{FF2B5EF4-FFF2-40B4-BE49-F238E27FC236}">
              <a16:creationId xmlns:a16="http://schemas.microsoft.com/office/drawing/2014/main" id="{E4A62AEF-E655-4182-B3A4-69216DAF1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8</xdr:row>
      <xdr:rowOff>0</xdr:rowOff>
    </xdr:from>
    <xdr:to>
      <xdr:col>20</xdr:col>
      <xdr:colOff>0</xdr:colOff>
      <xdr:row>22</xdr:row>
      <xdr:rowOff>20955</xdr:rowOff>
    </xdr:to>
    <mc:AlternateContent xmlns:mc="http://schemas.openxmlformats.org/markup-compatibility/2006">
      <mc:Choice xmlns:a14="http://schemas.microsoft.com/office/drawing/2010/main" Requires="a14">
        <xdr:graphicFrame macro="">
          <xdr:nvGraphicFramePr>
            <xdr:cNvPr id="6" name="Venue 1">
              <a:extLst>
                <a:ext uri="{FF2B5EF4-FFF2-40B4-BE49-F238E27FC236}">
                  <a16:creationId xmlns:a16="http://schemas.microsoft.com/office/drawing/2014/main" id="{C7400DFC-BB36-4E00-BEBD-28D22F038FE4}"/>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dr:sp macro="" textlink="">
          <xdr:nvSpPr>
            <xdr:cNvPr id="0" name=""/>
            <xdr:cNvSpPr>
              <a:spLocks noTextEdit="1"/>
            </xdr:cNvSpPr>
          </xdr:nvSpPr>
          <xdr:spPr>
            <a:xfrm>
              <a:off x="10363200" y="1463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24</xdr:row>
      <xdr:rowOff>175260</xdr:rowOff>
    </xdr:from>
    <xdr:to>
      <xdr:col>21</xdr:col>
      <xdr:colOff>106680</xdr:colOff>
      <xdr:row>32</xdr:row>
      <xdr:rowOff>83820</xdr:rowOff>
    </xdr:to>
    <mc:AlternateContent xmlns:mc="http://schemas.openxmlformats.org/markup-compatibility/2006">
      <mc:Choice xmlns:tsle="http://schemas.microsoft.com/office/drawing/2012/timeslicer" Requires="tsle">
        <xdr:graphicFrame macro="">
          <xdr:nvGraphicFramePr>
            <xdr:cNvPr id="7" name="Match Date 1">
              <a:extLst>
                <a:ext uri="{FF2B5EF4-FFF2-40B4-BE49-F238E27FC236}">
                  <a16:creationId xmlns:a16="http://schemas.microsoft.com/office/drawing/2014/main" id="{BCF61E32-BD9B-43E3-8EF3-CFF26F9A47AB}"/>
                </a:ext>
              </a:extLst>
            </xdr:cNvPr>
            <xdr:cNvGraphicFramePr/>
          </xdr:nvGraphicFramePr>
          <xdr:xfrm>
            <a:off x="0" y="0"/>
            <a:ext cx="0" cy="0"/>
          </xdr:xfrm>
          <a:graphic>
            <a:graphicData uri="http://schemas.microsoft.com/office/drawing/2012/timeslicer">
              <tsle:timeslicer xmlns:tsle="http://schemas.microsoft.com/office/drawing/2012/timeslicer" name="Match Date 1"/>
            </a:graphicData>
          </a:graphic>
        </xdr:graphicFrame>
      </mc:Choice>
      <mc:Fallback>
        <xdr:sp macro="" textlink="">
          <xdr:nvSpPr>
            <xdr:cNvPr id="0" name=""/>
            <xdr:cNvSpPr>
              <a:spLocks noTextEdit="1"/>
            </xdr:cNvSpPr>
          </xdr:nvSpPr>
          <xdr:spPr>
            <a:xfrm>
              <a:off x="9570720" y="45643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b.polackal" refreshedDate="46222.968327546296" createdVersion="8" refreshedVersion="8" minRefreshableVersion="3" recordCount="18" xr:uid="{0DC1AD1D-B708-49C3-A3C6-AC80A25CF4E2}">
  <cacheSource type="worksheet">
    <worksheetSource ref="A1:E19" sheet="IPL MATCH DATA"/>
  </cacheSource>
  <cacheFields count="8">
    <cacheField name="Match Date" numFmtId="14">
      <sharedItems containsSemiMixedTypes="0" containsNonDate="0" containsDate="1" containsString="0" minDate="2024-03-22T00:00:00" maxDate="2026-04-21T00:00:00" count="16">
        <d v="2024-03-22T00:00:00"/>
        <d v="2024-03-23T00:00:00"/>
        <d v="2024-03-24T00:00:00"/>
        <d v="2024-03-26T00:00:00"/>
        <d v="2024-03-27T00:00:00"/>
        <d v="2025-04-01T00:00:00"/>
        <d v="2025-04-02T00:00:00"/>
        <d v="2025-04-03T00:00:00"/>
        <d v="2025-04-05T00:00:00"/>
        <d v="2025-04-06T00:00:00"/>
        <d v="2026-04-10T00:00:00"/>
        <d v="2026-04-11T00:00:00"/>
        <d v="2026-04-12T00:00:00"/>
        <d v="2026-04-15T00:00:00"/>
        <d v="2026-04-18T00:00:00"/>
        <d v="2026-04-20T00:00:00"/>
      </sharedItems>
      <fieldGroup par="7"/>
    </cacheField>
    <cacheField name="Team 1" numFmtId="0">
      <sharedItems count="10">
        <s v="Chennai Super Kings"/>
        <s v="Punjab Kings"/>
        <s v="Kolkata Knight Riders"/>
        <s v="Rajasthan Royals"/>
        <s v="Gujarat Titans"/>
        <s v="Sunrisers Hyderabad"/>
        <s v="Mumbai Indians"/>
        <s v="Delhi Capitals"/>
        <s v="Royal Challengers Bengaluru"/>
        <s v="Lucknow Super Giants"/>
      </sharedItems>
    </cacheField>
    <cacheField name="Team 2" numFmtId="0">
      <sharedItems count="10">
        <s v="Royal Challengers Bengaluru"/>
        <s v="Delhi Capitals"/>
        <s v="Sunrisers Hyderabad"/>
        <s v="Lucknow Super Giants"/>
        <s v="Mumbai Indians"/>
        <s v="Gujarat Titans"/>
        <s v="Chennai Super Kings"/>
        <s v="Rajasthan Royals"/>
        <s v="Punjab Kings"/>
        <s v="Kolkata Knight Riders"/>
      </sharedItems>
    </cacheField>
    <cacheField name="Venue" numFmtId="0">
      <sharedItems count="10">
        <s v="Chennai"/>
        <s v="Mohali"/>
        <s v="Kolkata"/>
        <s v="Jaipur"/>
        <s v="Ahmedabad"/>
        <s v="Hyderabad"/>
        <s v="Mumbai"/>
        <s v="Delhi"/>
        <s v="Bengaluru"/>
        <s v="Lucknow"/>
      </sharedItems>
    </cacheField>
    <cacheField name="Result" numFmtId="0">
      <sharedItems count="10">
        <s v="Chennai Super Kings"/>
        <s v="Punjab Kings"/>
        <s v="Kolkata Knight Riders"/>
        <s v="Rajasthan Royals"/>
        <s v="Gujarat Titans"/>
        <s v="Sunrisers Hyderabad"/>
        <s v="Mumbai Indians"/>
        <s v="Delhi Capitals"/>
        <s v="Royal Challengers Bengaluru"/>
        <s v="Lucknow Super Giants"/>
      </sharedItems>
    </cacheField>
    <cacheField name="Months (Match Date)" numFmtId="0" databaseField="0">
      <fieldGroup base="0">
        <rangePr groupBy="months" startDate="2024-03-22T00:00:00" endDate="2026-04-21T00:00:00"/>
        <groupItems count="14">
          <s v="&lt;3/22/2024"/>
          <s v="Jan"/>
          <s v="Feb"/>
          <s v="Mar"/>
          <s v="Apr"/>
          <s v="May"/>
          <s v="Jun"/>
          <s v="Jul"/>
          <s v="Aug"/>
          <s v="Sep"/>
          <s v="Oct"/>
          <s v="Nov"/>
          <s v="Dec"/>
          <s v="&gt;4/21/2026"/>
        </groupItems>
      </fieldGroup>
    </cacheField>
    <cacheField name="Quarters (Match Date)" numFmtId="0" databaseField="0">
      <fieldGroup base="0">
        <rangePr groupBy="quarters" startDate="2024-03-22T00:00:00" endDate="2026-04-21T00:00:00"/>
        <groupItems count="6">
          <s v="&lt;3/22/2024"/>
          <s v="Qtr1"/>
          <s v="Qtr2"/>
          <s v="Qtr3"/>
          <s v="Qtr4"/>
          <s v="&gt;4/21/2026"/>
        </groupItems>
      </fieldGroup>
    </cacheField>
    <cacheField name="Years (Match Date)" numFmtId="0" databaseField="0">
      <fieldGroup base="0">
        <rangePr groupBy="years" startDate="2024-03-22T00:00:00" endDate="2026-04-21T00:00:00"/>
        <groupItems count="5">
          <s v="&lt;3/22/2024"/>
          <s v="2024"/>
          <s v="2025"/>
          <s v="2026"/>
          <s v="&gt;4/21/2026"/>
        </groupItems>
      </fieldGroup>
    </cacheField>
  </cacheFields>
  <extLst>
    <ext xmlns:x14="http://schemas.microsoft.com/office/spreadsheetml/2009/9/main" uri="{725AE2AE-9491-48be-B2B4-4EB974FC3084}">
      <x14:pivotCacheDefinition pivotCacheId="1810602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x v="0"/>
    <x v="0"/>
  </r>
  <r>
    <x v="1"/>
    <x v="1"/>
    <x v="1"/>
    <x v="1"/>
    <x v="1"/>
  </r>
  <r>
    <x v="1"/>
    <x v="2"/>
    <x v="2"/>
    <x v="2"/>
    <x v="2"/>
  </r>
  <r>
    <x v="2"/>
    <x v="3"/>
    <x v="3"/>
    <x v="3"/>
    <x v="3"/>
  </r>
  <r>
    <x v="2"/>
    <x v="4"/>
    <x v="4"/>
    <x v="4"/>
    <x v="4"/>
  </r>
  <r>
    <x v="3"/>
    <x v="0"/>
    <x v="5"/>
    <x v="0"/>
    <x v="0"/>
  </r>
  <r>
    <x v="4"/>
    <x v="5"/>
    <x v="4"/>
    <x v="5"/>
    <x v="5"/>
  </r>
  <r>
    <x v="5"/>
    <x v="6"/>
    <x v="6"/>
    <x v="6"/>
    <x v="6"/>
  </r>
  <r>
    <x v="6"/>
    <x v="2"/>
    <x v="7"/>
    <x v="2"/>
    <x v="3"/>
  </r>
  <r>
    <x v="7"/>
    <x v="7"/>
    <x v="0"/>
    <x v="7"/>
    <x v="7"/>
  </r>
  <r>
    <x v="8"/>
    <x v="5"/>
    <x v="6"/>
    <x v="5"/>
    <x v="5"/>
  </r>
  <r>
    <x v="9"/>
    <x v="6"/>
    <x v="8"/>
    <x v="6"/>
    <x v="6"/>
  </r>
  <r>
    <x v="10"/>
    <x v="0"/>
    <x v="9"/>
    <x v="0"/>
    <x v="0"/>
  </r>
  <r>
    <x v="11"/>
    <x v="8"/>
    <x v="4"/>
    <x v="8"/>
    <x v="8"/>
  </r>
  <r>
    <x v="12"/>
    <x v="4"/>
    <x v="7"/>
    <x v="4"/>
    <x v="3"/>
  </r>
  <r>
    <x v="13"/>
    <x v="9"/>
    <x v="1"/>
    <x v="9"/>
    <x v="9"/>
  </r>
  <r>
    <x v="14"/>
    <x v="5"/>
    <x v="9"/>
    <x v="5"/>
    <x v="5"/>
  </r>
  <r>
    <x v="15"/>
    <x v="6"/>
    <x v="7"/>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EC3563-50D0-4E62-B2D8-2C8A2979CC48}" name="PivotTable3" cacheId="9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rowHeaderCaption="Team">
  <location ref="A3:B13" firstHeaderRow="1" firstDataRow="1" firstDataCol="1"/>
  <pivotFields count="8">
    <pivotField dataField="1" showAll="0">
      <items count="17">
        <item x="0"/>
        <item x="1"/>
        <item x="2"/>
        <item x="3"/>
        <item x="4"/>
        <item x="5"/>
        <item x="6"/>
        <item x="7"/>
        <item x="8"/>
        <item x="9"/>
        <item x="10"/>
        <item x="11"/>
        <item x="12"/>
        <item x="13"/>
        <item x="14"/>
        <item x="15"/>
        <item t="default"/>
      </items>
    </pivotField>
    <pivotField showAll="0">
      <items count="11">
        <item sd="0" x="0"/>
        <item sd="0" x="7"/>
        <item sd="0" x="4"/>
        <item sd="0" x="2"/>
        <item sd="0" x="9"/>
        <item sd="0" x="6"/>
        <item sd="0" x="1"/>
        <item sd="0" x="3"/>
        <item sd="0" x="8"/>
        <item sd="0" x="5"/>
        <item t="default"/>
      </items>
    </pivotField>
    <pivotField axis="axisRow" showAll="0">
      <items count="11">
        <item x="6"/>
        <item x="1"/>
        <item x="5"/>
        <item x="9"/>
        <item x="3"/>
        <item x="4"/>
        <item x="8"/>
        <item x="7"/>
        <item x="0"/>
        <item x="2"/>
        <item t="default"/>
      </items>
    </pivotField>
    <pivotField showAll="0">
      <items count="11">
        <item x="4"/>
        <item x="8"/>
        <item x="0"/>
        <item x="7"/>
        <item x="5"/>
        <item x="3"/>
        <item x="2"/>
        <item x="9"/>
        <item x="1"/>
        <item x="6"/>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0">
    <i>
      <x/>
    </i>
    <i>
      <x v="1"/>
    </i>
    <i>
      <x v="2"/>
    </i>
    <i>
      <x v="3"/>
    </i>
    <i>
      <x v="4"/>
    </i>
    <i>
      <x v="5"/>
    </i>
    <i>
      <x v="6"/>
    </i>
    <i>
      <x v="7"/>
    </i>
    <i>
      <x v="8"/>
    </i>
    <i>
      <x v="9"/>
    </i>
  </rowItems>
  <colItems count="1">
    <i/>
  </colItems>
  <dataFields count="1">
    <dataField name="Count of Match " fld="0" subtotal="count" baseField="1"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A4888-E927-434F-A1AA-985004A9FBBA}" name="PivotTable4" cacheId="9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rowHeaderCaption="Team">
  <location ref="A3:B6" firstHeaderRow="1" firstDataRow="1" firstDataCol="1"/>
  <pivotFields count="8">
    <pivotField axis="axisRow" dataField="1" showAll="0">
      <items count="17">
        <item x="0"/>
        <item x="1"/>
        <item x="2"/>
        <item x="3"/>
        <item x="4"/>
        <item x="5"/>
        <item x="6"/>
        <item x="7"/>
        <item x="8"/>
        <item x="9"/>
        <item x="10"/>
        <item x="11"/>
        <item x="12"/>
        <item x="13"/>
        <item x="14"/>
        <item x="15"/>
        <item t="default"/>
      </items>
    </pivotField>
    <pivotField showAll="0">
      <items count="11">
        <item sd="0" x="0"/>
        <item sd="0" x="7"/>
        <item sd="0" x="4"/>
        <item sd="0" x="2"/>
        <item sd="0" x="9"/>
        <item sd="0" x="6"/>
        <item sd="0" x="1"/>
        <item sd="0" x="3"/>
        <item sd="0" x="8"/>
        <item sd="0" x="5"/>
        <item t="default"/>
      </items>
    </pivotField>
    <pivotField showAll="0">
      <items count="11">
        <item x="6"/>
        <item x="1"/>
        <item x="5"/>
        <item x="9"/>
        <item x="3"/>
        <item x="4"/>
        <item x="8"/>
        <item x="7"/>
        <item x="0"/>
        <item x="2"/>
        <item t="default"/>
      </items>
    </pivotField>
    <pivotField showAll="0">
      <items count="11">
        <item x="4"/>
        <item x="8"/>
        <item x="0"/>
        <item x="7"/>
        <item x="5"/>
        <item x="3"/>
        <item x="2"/>
        <item x="9"/>
        <item x="1"/>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7"/>
    <field x="0"/>
  </rowFields>
  <rowItems count="3">
    <i>
      <x v="1"/>
    </i>
    <i>
      <x v="2"/>
    </i>
    <i>
      <x v="3"/>
    </i>
  </rowItems>
  <colItems count="1">
    <i/>
  </colItems>
  <dataFields count="1">
    <dataField name="Count of Match " fld="0" subtotal="count" baseField="1" baseItem="0"/>
  </dataFields>
  <chartFormats count="3">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968FB7-98D5-4E00-80BC-2CD86F0234E5}" name="PivotTable5" cacheId="9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rowHeaderCaption="Team">
  <location ref="A3:D9" firstHeaderRow="1" firstDataRow="3" firstDataCol="1"/>
  <pivotFields count="8">
    <pivotField axis="axisCol" showAll="0">
      <items count="17">
        <item x="0"/>
        <item x="1"/>
        <item x="2"/>
        <item x="3"/>
        <item x="4"/>
        <item x="5"/>
        <item x="6"/>
        <item x="7"/>
        <item x="8"/>
        <item x="9"/>
        <item x="10"/>
        <item x="11"/>
        <item x="12"/>
        <item x="13"/>
        <item x="14"/>
        <item x="15"/>
        <item t="default"/>
      </items>
    </pivotField>
    <pivotField showAll="0">
      <items count="11">
        <item sd="0" x="0"/>
        <item sd="0" x="7"/>
        <item sd="0" x="4"/>
        <item sd="0" x="2"/>
        <item sd="0" x="9"/>
        <item sd="0" x="6"/>
        <item sd="0" x="1"/>
        <item sd="0" x="3"/>
        <item sd="0" x="8"/>
        <item sd="0" x="5"/>
        <item t="default"/>
      </items>
    </pivotField>
    <pivotField showAll="0">
      <items count="11">
        <item sd="0" x="6"/>
        <item sd="0" x="1"/>
        <item sd="0" x="5"/>
        <item sd="0" x="9"/>
        <item sd="0" x="3"/>
        <item sd="0" x="4"/>
        <item sd="0" x="8"/>
        <item sd="0" x="7"/>
        <item sd="0" x="0"/>
        <item sd="0" x="2"/>
        <item t="default"/>
      </items>
    </pivotField>
    <pivotField dataField="1" showAll="0">
      <items count="11">
        <item x="4"/>
        <item x="8"/>
        <item x="0"/>
        <item x="7"/>
        <item x="5"/>
        <item x="3"/>
        <item x="2"/>
        <item x="9"/>
        <item x="1"/>
        <item x="6"/>
        <item t="default"/>
      </items>
    </pivotField>
    <pivotField axis="axisRow" showAll="0" measureFilter="1" sortType="ascending">
      <items count="11">
        <item x="0"/>
        <item x="7"/>
        <item x="4"/>
        <item x="2"/>
        <item x="9"/>
        <item x="6"/>
        <item x="1"/>
        <item x="3"/>
        <item x="8"/>
        <item x="5"/>
        <item t="default"/>
      </items>
      <autoSortScope>
        <pivotArea dataOnly="0" outline="0" fieldPosition="0">
          <references count="2">
            <reference field="4294967294" count="1" selected="0">
              <x v="0"/>
            </reference>
            <reference field="7" count="1" selected="0">
              <x v="1"/>
            </reference>
          </references>
        </pivotArea>
      </autoSortScope>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4"/>
  </rowFields>
  <rowItems count="4">
    <i>
      <x v="5"/>
    </i>
    <i>
      <x v="7"/>
    </i>
    <i>
      <x v="9"/>
    </i>
    <i>
      <x/>
    </i>
  </rowItems>
  <colFields count="2">
    <field x="7"/>
    <field x="0"/>
  </colFields>
  <colItems count="3">
    <i>
      <x v="1"/>
    </i>
    <i>
      <x v="2"/>
    </i>
    <i>
      <x v="3"/>
    </i>
  </colItems>
  <dataFields count="1">
    <dataField name="Count of Venue" fld="3" subtotal="count" baseField="0" baseItem="0"/>
  </dataFields>
  <chartFormats count="6">
    <chartFormat chart="2" format="0" series="1">
      <pivotArea type="data" outline="0" fieldPosition="0">
        <references count="2">
          <reference field="4294967294" count="1" selected="0">
            <x v="0"/>
          </reference>
          <reference field="7" count="1" selected="0">
            <x v="1"/>
          </reference>
        </references>
      </pivotArea>
    </chartFormat>
    <chartFormat chart="2" format="1" series="1">
      <pivotArea type="data" outline="0" fieldPosition="0">
        <references count="2">
          <reference field="4294967294" count="1" selected="0">
            <x v="0"/>
          </reference>
          <reference field="7" count="1" selected="0">
            <x v="2"/>
          </reference>
        </references>
      </pivotArea>
    </chartFormat>
    <chartFormat chart="2" format="2" series="1">
      <pivotArea type="data" outline="0" fieldPosition="0">
        <references count="2">
          <reference field="4294967294" count="1" selected="0">
            <x v="0"/>
          </reference>
          <reference field="7" count="1" selected="0">
            <x v="3"/>
          </reference>
        </references>
      </pivotArea>
    </chartFormat>
    <chartFormat chart="5" format="6" series="1">
      <pivotArea type="data" outline="0" fieldPosition="0">
        <references count="2">
          <reference field="4294967294" count="1" selected="0">
            <x v="0"/>
          </reference>
          <reference field="7" count="1" selected="0">
            <x v="1"/>
          </reference>
        </references>
      </pivotArea>
    </chartFormat>
    <chartFormat chart="5" format="7" series="1">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filters count="1">
    <filter fld="4" type="count" evalOrder="-1" id="3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F65EBFBB-EA4A-439D-91E2-1C130875EEFF}" sourceName="Venue">
  <pivotTables>
    <pivotTable tabId="3" name="PivotTable3"/>
    <pivotTable tabId="4" name="PivotTable4"/>
    <pivotTable tabId="5" name="PivotTable5"/>
  </pivotTables>
  <data>
    <tabular pivotCacheId="1810602490">
      <items count="10">
        <i x="4" s="1"/>
        <i x="8" s="1"/>
        <i x="0" s="1"/>
        <i x="7" s="1"/>
        <i x="5" s="1"/>
        <i x="3" s="1"/>
        <i x="2" s="1"/>
        <i x="9"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B98D274D-5824-4138-A22F-4A6874A8B3D2}" cache="Slicer_Venue" caption="Ven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69AD68C4-19ED-4B8D-B9CA-5A8FC09268A3}" cache="Slicer_Venue" caption="Venu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DCEC4E48-7BC0-4296-BB33-863125C06AAA}" sourceName="Match Date">
  <pivotTables>
    <pivotTable tabId="4" name="PivotTable4"/>
    <pivotTable tabId="3" name="PivotTable3"/>
    <pivotTable tabId="5" name="PivotTable5"/>
  </pivotTables>
  <state minimalRefreshVersion="6" lastRefreshVersion="6" pivotCacheId="1810602490"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5B21A230-E201-499F-8F3A-1CC9368C137D}" cache="NativeTimeline_Match_Date" caption="Match 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85A7F0A5-C36E-4627-A5F2-96A4E0D6E0FF}" cache="NativeTimeline_Match_Date" caption="Match Date" level="2" selectionLevel="2" scrollPosition="2024-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C1CD2-4326-4BB4-8324-B8ABCC74CEE3}">
  <dimension ref="A1:E19"/>
  <sheetViews>
    <sheetView workbookViewId="0">
      <selection activeCell="A2" sqref="A2"/>
    </sheetView>
  </sheetViews>
  <sheetFormatPr defaultRowHeight="14.4" x14ac:dyDescent="0.3"/>
  <cols>
    <col min="1" max="1" width="12" bestFit="1" customWidth="1"/>
    <col min="2" max="3" width="24" bestFit="1" customWidth="1"/>
    <col min="4" max="4" width="10.6640625" bestFit="1" customWidth="1"/>
    <col min="5" max="5" width="24" bestFit="1" customWidth="1"/>
  </cols>
  <sheetData>
    <row r="1" spans="1:5" ht="16.8" x14ac:dyDescent="0.4">
      <c r="A1" s="1" t="s">
        <v>0</v>
      </c>
      <c r="B1" s="1" t="s">
        <v>1</v>
      </c>
      <c r="C1" s="1" t="s">
        <v>2</v>
      </c>
      <c r="D1" s="1" t="s">
        <v>3</v>
      </c>
      <c r="E1" s="1" t="s">
        <v>4</v>
      </c>
    </row>
    <row r="2" spans="1:5" x14ac:dyDescent="0.3">
      <c r="A2" s="5">
        <v>45373</v>
      </c>
      <c r="B2" t="s">
        <v>5</v>
      </c>
      <c r="C2" t="s">
        <v>6</v>
      </c>
      <c r="D2" t="s">
        <v>7</v>
      </c>
      <c r="E2" t="s">
        <v>5</v>
      </c>
    </row>
    <row r="3" spans="1:5" x14ac:dyDescent="0.3">
      <c r="A3" s="5">
        <v>45374</v>
      </c>
      <c r="B3" t="s">
        <v>8</v>
      </c>
      <c r="C3" t="s">
        <v>9</v>
      </c>
      <c r="D3" t="s">
        <v>10</v>
      </c>
      <c r="E3" t="s">
        <v>8</v>
      </c>
    </row>
    <row r="4" spans="1:5" x14ac:dyDescent="0.3">
      <c r="A4" s="5">
        <v>45374</v>
      </c>
      <c r="B4" t="s">
        <v>11</v>
      </c>
      <c r="C4" t="s">
        <v>12</v>
      </c>
      <c r="D4" t="s">
        <v>13</v>
      </c>
      <c r="E4" t="s">
        <v>11</v>
      </c>
    </row>
    <row r="5" spans="1:5" x14ac:dyDescent="0.3">
      <c r="A5" s="5">
        <v>45375</v>
      </c>
      <c r="B5" t="s">
        <v>14</v>
      </c>
      <c r="C5" t="s">
        <v>15</v>
      </c>
      <c r="D5" t="s">
        <v>16</v>
      </c>
      <c r="E5" t="s">
        <v>14</v>
      </c>
    </row>
    <row r="6" spans="1:5" x14ac:dyDescent="0.3">
      <c r="A6" s="5">
        <v>45375</v>
      </c>
      <c r="B6" t="s">
        <v>17</v>
      </c>
      <c r="C6" t="s">
        <v>18</v>
      </c>
      <c r="D6" t="s">
        <v>19</v>
      </c>
      <c r="E6" t="s">
        <v>17</v>
      </c>
    </row>
    <row r="7" spans="1:5" x14ac:dyDescent="0.3">
      <c r="A7" s="5">
        <v>45377</v>
      </c>
      <c r="B7" t="s">
        <v>5</v>
      </c>
      <c r="C7" t="s">
        <v>17</v>
      </c>
      <c r="D7" t="s">
        <v>7</v>
      </c>
      <c r="E7" t="s">
        <v>5</v>
      </c>
    </row>
    <row r="8" spans="1:5" x14ac:dyDescent="0.3">
      <c r="A8" s="5">
        <v>45378</v>
      </c>
      <c r="B8" t="s">
        <v>12</v>
      </c>
      <c r="C8" t="s">
        <v>18</v>
      </c>
      <c r="D8" t="s">
        <v>20</v>
      </c>
      <c r="E8" t="s">
        <v>12</v>
      </c>
    </row>
    <row r="9" spans="1:5" x14ac:dyDescent="0.3">
      <c r="A9" s="5">
        <v>45748</v>
      </c>
      <c r="B9" t="s">
        <v>18</v>
      </c>
      <c r="C9" t="s">
        <v>5</v>
      </c>
      <c r="D9" t="s">
        <v>21</v>
      </c>
      <c r="E9" t="s">
        <v>18</v>
      </c>
    </row>
    <row r="10" spans="1:5" x14ac:dyDescent="0.3">
      <c r="A10" s="5">
        <v>45749</v>
      </c>
      <c r="B10" t="s">
        <v>11</v>
      </c>
      <c r="C10" t="s">
        <v>14</v>
      </c>
      <c r="D10" t="s">
        <v>13</v>
      </c>
      <c r="E10" t="s">
        <v>14</v>
      </c>
    </row>
    <row r="11" spans="1:5" x14ac:dyDescent="0.3">
      <c r="A11" s="5">
        <v>45750</v>
      </c>
      <c r="B11" t="s">
        <v>9</v>
      </c>
      <c r="C11" t="s">
        <v>6</v>
      </c>
      <c r="D11" t="s">
        <v>22</v>
      </c>
      <c r="E11" t="s">
        <v>9</v>
      </c>
    </row>
    <row r="12" spans="1:5" x14ac:dyDescent="0.3">
      <c r="A12" s="5">
        <v>45752</v>
      </c>
      <c r="B12" t="s">
        <v>12</v>
      </c>
      <c r="C12" t="s">
        <v>5</v>
      </c>
      <c r="D12" t="s">
        <v>20</v>
      </c>
      <c r="E12" t="s">
        <v>12</v>
      </c>
    </row>
    <row r="13" spans="1:5" x14ac:dyDescent="0.3">
      <c r="A13" s="5">
        <v>45753</v>
      </c>
      <c r="B13" t="s">
        <v>18</v>
      </c>
      <c r="C13" t="s">
        <v>8</v>
      </c>
      <c r="D13" t="s">
        <v>21</v>
      </c>
      <c r="E13" t="s">
        <v>18</v>
      </c>
    </row>
    <row r="14" spans="1:5" x14ac:dyDescent="0.3">
      <c r="A14" s="5">
        <v>46122</v>
      </c>
      <c r="B14" t="s">
        <v>5</v>
      </c>
      <c r="C14" t="s">
        <v>11</v>
      </c>
      <c r="D14" t="s">
        <v>7</v>
      </c>
      <c r="E14" t="s">
        <v>5</v>
      </c>
    </row>
    <row r="15" spans="1:5" x14ac:dyDescent="0.3">
      <c r="A15" s="5">
        <v>46123</v>
      </c>
      <c r="B15" t="s">
        <v>6</v>
      </c>
      <c r="C15" t="s">
        <v>18</v>
      </c>
      <c r="D15" t="s">
        <v>23</v>
      </c>
      <c r="E15" t="s">
        <v>6</v>
      </c>
    </row>
    <row r="16" spans="1:5" x14ac:dyDescent="0.3">
      <c r="A16" s="5">
        <v>46124</v>
      </c>
      <c r="B16" t="s">
        <v>17</v>
      </c>
      <c r="C16" t="s">
        <v>14</v>
      </c>
      <c r="D16" t="s">
        <v>19</v>
      </c>
      <c r="E16" t="s">
        <v>14</v>
      </c>
    </row>
    <row r="17" spans="1:5" x14ac:dyDescent="0.3">
      <c r="A17" s="5">
        <v>46127</v>
      </c>
      <c r="B17" t="s">
        <v>15</v>
      </c>
      <c r="C17" t="s">
        <v>9</v>
      </c>
      <c r="D17" t="s">
        <v>24</v>
      </c>
      <c r="E17" t="s">
        <v>15</v>
      </c>
    </row>
    <row r="18" spans="1:5" x14ac:dyDescent="0.3">
      <c r="A18" s="5">
        <v>46130</v>
      </c>
      <c r="B18" t="s">
        <v>12</v>
      </c>
      <c r="C18" t="s">
        <v>11</v>
      </c>
      <c r="D18" t="s">
        <v>20</v>
      </c>
      <c r="E18" t="s">
        <v>12</v>
      </c>
    </row>
    <row r="19" spans="1:5" x14ac:dyDescent="0.3">
      <c r="A19" s="5">
        <v>46132</v>
      </c>
      <c r="B19" t="s">
        <v>18</v>
      </c>
      <c r="C19" t="s">
        <v>14</v>
      </c>
      <c r="D19" t="s">
        <v>21</v>
      </c>
      <c r="E19"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2479-C478-49BD-9F39-E8F335346692}">
  <dimension ref="A3:B13"/>
  <sheetViews>
    <sheetView workbookViewId="0">
      <selection activeCell="G3" sqref="G3"/>
    </sheetView>
  </sheetViews>
  <sheetFormatPr defaultRowHeight="14.4" x14ac:dyDescent="0.3"/>
  <cols>
    <col min="1" max="1" width="24" bestFit="1" customWidth="1"/>
    <col min="2" max="2" width="13.6640625" bestFit="1" customWidth="1"/>
  </cols>
  <sheetData>
    <row r="3" spans="1:2" x14ac:dyDescent="0.3">
      <c r="A3" s="2" t="s">
        <v>25</v>
      </c>
      <c r="B3" t="s">
        <v>27</v>
      </c>
    </row>
    <row r="4" spans="1:2" x14ac:dyDescent="0.3">
      <c r="A4" s="3" t="s">
        <v>5</v>
      </c>
      <c r="B4" s="4">
        <v>2</v>
      </c>
    </row>
    <row r="5" spans="1:2" x14ac:dyDescent="0.3">
      <c r="A5" s="3" t="s">
        <v>9</v>
      </c>
      <c r="B5" s="4">
        <v>2</v>
      </c>
    </row>
    <row r="6" spans="1:2" x14ac:dyDescent="0.3">
      <c r="A6" s="3" t="s">
        <v>17</v>
      </c>
      <c r="B6" s="4">
        <v>1</v>
      </c>
    </row>
    <row r="7" spans="1:2" x14ac:dyDescent="0.3">
      <c r="A7" s="3" t="s">
        <v>11</v>
      </c>
      <c r="B7" s="4">
        <v>2</v>
      </c>
    </row>
    <row r="8" spans="1:2" x14ac:dyDescent="0.3">
      <c r="A8" s="3" t="s">
        <v>15</v>
      </c>
      <c r="B8" s="4">
        <v>1</v>
      </c>
    </row>
    <row r="9" spans="1:2" x14ac:dyDescent="0.3">
      <c r="A9" s="3" t="s">
        <v>18</v>
      </c>
      <c r="B9" s="4">
        <v>3</v>
      </c>
    </row>
    <row r="10" spans="1:2" x14ac:dyDescent="0.3">
      <c r="A10" s="3" t="s">
        <v>8</v>
      </c>
      <c r="B10" s="4">
        <v>1</v>
      </c>
    </row>
    <row r="11" spans="1:2" x14ac:dyDescent="0.3">
      <c r="A11" s="3" t="s">
        <v>14</v>
      </c>
      <c r="B11" s="4">
        <v>3</v>
      </c>
    </row>
    <row r="12" spans="1:2" x14ac:dyDescent="0.3">
      <c r="A12" s="3" t="s">
        <v>6</v>
      </c>
      <c r="B12" s="4">
        <v>2</v>
      </c>
    </row>
    <row r="13" spans="1:2" x14ac:dyDescent="0.3">
      <c r="A13" s="3" t="s">
        <v>12</v>
      </c>
      <c r="B13"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4BC4-0C7D-4105-BBA4-7926BC65B894}">
  <dimension ref="A3:B6"/>
  <sheetViews>
    <sheetView workbookViewId="0">
      <selection activeCell="O8" sqref="O8"/>
    </sheetView>
  </sheetViews>
  <sheetFormatPr defaultRowHeight="14.4" x14ac:dyDescent="0.3"/>
  <cols>
    <col min="1" max="1" width="7.77734375" bestFit="1" customWidth="1"/>
    <col min="2" max="2" width="13.6640625" bestFit="1" customWidth="1"/>
  </cols>
  <sheetData>
    <row r="3" spans="1:2" x14ac:dyDescent="0.3">
      <c r="A3" s="2" t="s">
        <v>25</v>
      </c>
      <c r="B3" t="s">
        <v>27</v>
      </c>
    </row>
    <row r="4" spans="1:2" x14ac:dyDescent="0.3">
      <c r="A4" s="3" t="s">
        <v>28</v>
      </c>
      <c r="B4" s="4">
        <v>7</v>
      </c>
    </row>
    <row r="5" spans="1:2" x14ac:dyDescent="0.3">
      <c r="A5" s="3" t="s">
        <v>29</v>
      </c>
      <c r="B5" s="4">
        <v>5</v>
      </c>
    </row>
    <row r="6" spans="1:2" x14ac:dyDescent="0.3">
      <c r="A6" s="3" t="s">
        <v>30</v>
      </c>
      <c r="B6" s="4">
        <v>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8F987-5527-457C-B395-E67A4A96F54A}">
  <dimension ref="A3:D9"/>
  <sheetViews>
    <sheetView workbookViewId="0">
      <selection activeCell="C15" sqref="C15"/>
    </sheetView>
  </sheetViews>
  <sheetFormatPr defaultRowHeight="14.4" x14ac:dyDescent="0.3"/>
  <cols>
    <col min="1" max="1" width="17.88671875" bestFit="1" customWidth="1"/>
    <col min="2" max="2" width="15.5546875" bestFit="1" customWidth="1"/>
    <col min="3" max="4" width="6.6640625" bestFit="1" customWidth="1"/>
    <col min="5" max="6" width="9.33203125" bestFit="1" customWidth="1"/>
    <col min="7" max="11" width="8.33203125" bestFit="1" customWidth="1"/>
    <col min="12" max="17" width="9.33203125" bestFit="1" customWidth="1"/>
  </cols>
  <sheetData>
    <row r="3" spans="1:4" x14ac:dyDescent="0.3">
      <c r="A3" s="2" t="s">
        <v>31</v>
      </c>
      <c r="B3" s="2" t="s">
        <v>26</v>
      </c>
    </row>
    <row r="4" spans="1:4" x14ac:dyDescent="0.3">
      <c r="B4" t="s">
        <v>28</v>
      </c>
      <c r="C4" t="s">
        <v>29</v>
      </c>
      <c r="D4" t="s">
        <v>30</v>
      </c>
    </row>
    <row r="5" spans="1:4" x14ac:dyDescent="0.3">
      <c r="A5" s="2" t="s">
        <v>25</v>
      </c>
    </row>
    <row r="6" spans="1:4" x14ac:dyDescent="0.3">
      <c r="A6" s="3" t="s">
        <v>18</v>
      </c>
      <c r="B6" s="4"/>
      <c r="C6" s="4">
        <v>2</v>
      </c>
      <c r="D6" s="4">
        <v>1</v>
      </c>
    </row>
    <row r="7" spans="1:4" x14ac:dyDescent="0.3">
      <c r="A7" s="3" t="s">
        <v>14</v>
      </c>
      <c r="B7" s="4">
        <v>1</v>
      </c>
      <c r="C7" s="4">
        <v>1</v>
      </c>
      <c r="D7" s="4">
        <v>1</v>
      </c>
    </row>
    <row r="8" spans="1:4" x14ac:dyDescent="0.3">
      <c r="A8" s="3" t="s">
        <v>12</v>
      </c>
      <c r="B8" s="4">
        <v>1</v>
      </c>
      <c r="C8" s="4">
        <v>1</v>
      </c>
      <c r="D8" s="4">
        <v>1</v>
      </c>
    </row>
    <row r="9" spans="1:4" x14ac:dyDescent="0.3">
      <c r="A9" s="3" t="s">
        <v>5</v>
      </c>
      <c r="B9" s="4">
        <v>2</v>
      </c>
      <c r="C9" s="4"/>
      <c r="D9"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2D76-CC79-4BAA-B84B-A613C81AC456}">
  <dimension ref="A1"/>
  <sheetViews>
    <sheetView tabSelected="1" workbookViewId="0">
      <selection activeCell="Q24" sqref="Q24"/>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IPL MATCH DATA</vt:lpstr>
      <vt:lpstr>P-1</vt:lpstr>
      <vt:lpstr>P-2</vt:lpstr>
      <vt:lpstr>P-3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leopolackal123@outlook.com</dc:creator>
  <cp:lastModifiedBy>leopolackal123@outlook.com</cp:lastModifiedBy>
  <dcterms:created xsi:type="dcterms:W3CDTF">2026-07-19T17:06:10Z</dcterms:created>
  <dcterms:modified xsi:type="dcterms:W3CDTF">2026-07-19T18:28:23Z</dcterms:modified>
</cp:coreProperties>
</file>