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0" documentId="8_{D48F33A4-0374-43D3-92FD-BF38D8B5D8AB}" xr6:coauthVersionLast="47" xr6:coauthVersionMax="47" xr10:uidLastSave="{00000000-0000-0000-0000-000000000000}"/>
  <bookViews>
    <workbookView xWindow="-108" yWindow="-108" windowWidth="23256" windowHeight="12456" xr2:uid="{36C9E97C-04BE-4E5E-95B7-3F89305D2523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B11" i="4"/>
  <c r="C10" i="3"/>
  <c r="B10" i="2"/>
  <c r="C16" i="1"/>
  <c r="C17" i="1"/>
  <c r="C15" i="1"/>
</calcChain>
</file>

<file path=xl/sharedStrings.xml><?xml version="1.0" encoding="utf-8"?>
<sst xmlns="http://schemas.openxmlformats.org/spreadsheetml/2006/main" count="143" uniqueCount="107">
  <si>
    <t>Product ID</t>
  </si>
  <si>
    <t>Category</t>
  </si>
  <si>
    <t>Price</t>
  </si>
  <si>
    <t>P001</t>
  </si>
  <si>
    <t>Apple iPhone 15 (128 GB)</t>
  </si>
  <si>
    <t>Electronics</t>
  </si>
  <si>
    <t>P002</t>
  </si>
  <si>
    <t>Samsung Galaxy S24 Ultra</t>
  </si>
  <si>
    <t>P003</t>
  </si>
  <si>
    <t>Sony WH-1000XM5 Headphones</t>
  </si>
  <si>
    <t>P004</t>
  </si>
  <si>
    <t>Nike Air Max Sneakers</t>
  </si>
  <si>
    <t>Apparel</t>
  </si>
  <si>
    <t>P005</t>
  </si>
  <si>
    <t>Mi Smart TV 5A 43 inch</t>
  </si>
  <si>
    <t>P006</t>
  </si>
  <si>
    <t>HP Laptop 15s</t>
  </si>
  <si>
    <t>P007</t>
  </si>
  <si>
    <t>Philips Air Fryer HD9200</t>
  </si>
  <si>
    <t>Appliances</t>
  </si>
  <si>
    <t>P008</t>
  </si>
  <si>
    <t>Bourge Men Running Shoes</t>
  </si>
  <si>
    <t>P009</t>
  </si>
  <si>
    <t>Logitech G502 Gaming Mouse</t>
  </si>
  <si>
    <t>P010</t>
  </si>
  <si>
    <t>Prestige Iris Mixie 750W</t>
  </si>
  <si>
    <t>Product Name</t>
  </si>
  <si>
    <t>Last order amount of McDonald's</t>
  </si>
  <si>
    <t>McDonald's</t>
  </si>
  <si>
    <t>ZM-1007</t>
  </si>
  <si>
    <t>La Pino'z Pizza</t>
  </si>
  <si>
    <t>ZM-1006</t>
  </si>
  <si>
    <t>Barbeque Nation</t>
  </si>
  <si>
    <t>ZM-1005</t>
  </si>
  <si>
    <t>ZM-1004</t>
  </si>
  <si>
    <t>ZM-1003</t>
  </si>
  <si>
    <t>ZM-1002</t>
  </si>
  <si>
    <t>ZM-1001</t>
  </si>
  <si>
    <t>Amount</t>
  </si>
  <si>
    <t>Order Date</t>
  </si>
  <si>
    <t>Restaurant Name</t>
  </si>
  <si>
    <t>Order ID</t>
  </si>
  <si>
    <t>Rock</t>
  </si>
  <si>
    <t>Playlist Name</t>
  </si>
  <si>
    <t>Genre</t>
  </si>
  <si>
    <t>David</t>
  </si>
  <si>
    <t>Classical</t>
  </si>
  <si>
    <t>Deep Focus</t>
  </si>
  <si>
    <t>Spotify</t>
  </si>
  <si>
    <t>Synthwave</t>
  </si>
  <si>
    <t>Midnight Drive</t>
  </si>
  <si>
    <t>Sarah</t>
  </si>
  <si>
    <t>Pop</t>
  </si>
  <si>
    <t>Summer Sunset</t>
  </si>
  <si>
    <t>Alex</t>
  </si>
  <si>
    <t>Heavy Lifters</t>
  </si>
  <si>
    <t>Lo-Fi</t>
  </si>
  <si>
    <t>Chill Vibes</t>
  </si>
  <si>
    <t>Number of Songs</t>
  </si>
  <si>
    <t>Created By</t>
  </si>
  <si>
    <t>PNR4589213</t>
  </si>
  <si>
    <t>Status</t>
  </si>
  <si>
    <t>Booking ID</t>
  </si>
  <si>
    <t>RAC 4 (Reservation Against Cancellation)</t>
  </si>
  <si>
    <t>12952 (Mumbai Rajdhani)</t>
  </si>
  <si>
    <t>Vikram Singh</t>
  </si>
  <si>
    <t>PNR5510293</t>
  </si>
  <si>
    <t>CNF (Confirmed)</t>
  </si>
  <si>
    <t>12625 (Kerala Express)</t>
  </si>
  <si>
    <t>Ananya Nair</t>
  </si>
  <si>
    <t>PNR3049182</t>
  </si>
  <si>
    <t>WL 3 (Waitlisted)</t>
  </si>
  <si>
    <t>12626 (Kerala Express)</t>
  </si>
  <si>
    <t>Rajesh Kumar</t>
  </si>
  <si>
    <t>PNR8823104</t>
  </si>
  <si>
    <t>12260 (Sealdah Duronto)</t>
  </si>
  <si>
    <t>Sneha Reddy</t>
  </si>
  <si>
    <t>PNR6302941</t>
  </si>
  <si>
    <t>WL 14 (Waitlisted)</t>
  </si>
  <si>
    <t>19020 (Dehradun Express)</t>
  </si>
  <si>
    <t>Amit Verma</t>
  </si>
  <si>
    <t>PNR1049582</t>
  </si>
  <si>
    <t>RAC 1 (Reservation Against Cancellation)</t>
  </si>
  <si>
    <t>12951 (Mumbai Rajdhani)</t>
  </si>
  <si>
    <t>Priya Patel</t>
  </si>
  <si>
    <t>PNR7821045</t>
  </si>
  <si>
    <t>Aarav Sharma</t>
  </si>
  <si>
    <t>Train Number</t>
  </si>
  <si>
    <t>Passenger Name</t>
  </si>
  <si>
    <t>Delivery Date</t>
  </si>
  <si>
    <t>MYN-44902-C</t>
  </si>
  <si>
    <t>Shipped</t>
  </si>
  <si>
    <t>HRX Training Track Pants</t>
  </si>
  <si>
    <t>MYN-88123-M</t>
  </si>
  <si>
    <t>Delivered</t>
  </si>
  <si>
    <t>H&amp;M Women Oversized Hoodie</t>
  </si>
  <si>
    <t>In Transit</t>
  </si>
  <si>
    <t>Nike Men Running Shoes</t>
  </si>
  <si>
    <t>Amit Mishra</t>
  </si>
  <si>
    <t>MYN-77321-B</t>
  </si>
  <si>
    <t>Anouk Women Kurta Set</t>
  </si>
  <si>
    <t>MYN-12094-A</t>
  </si>
  <si>
    <t>Roadster Men Casual Shirt</t>
  </si>
  <si>
    <t>Rohan Sharma</t>
  </si>
  <si>
    <t>MYN-98432-X</t>
  </si>
  <si>
    <t>Product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</si>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</sst>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164" fontId="0" fillId="0" borderId="1" xfId="0" applyNumberFormat="1" applyBorder="1"/>
    <xf numFmtId="14" fontId="0" fillId="0" borderId="1" xfId="0" applyNumberForma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0" fillId="3" borderId="1" xfId="0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3" fillId="6" borderId="1" xfId="0" applyFont="1" applyFill="1" applyBorder="1"/>
    <xf numFmtId="14" fontId="0" fillId="3" borderId="1" xfId="0" applyNumberFormat="1" applyFill="1" applyBorder="1"/>
    <xf numFmtId="0" fontId="3" fillId="7" borderId="1" xfId="0" applyFont="1" applyFill="1" applyBorder="1"/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6A21-7720-4F1F-9D84-398F420305C9}">
  <dimension ref="A1:D17"/>
  <sheetViews>
    <sheetView tabSelected="1" workbookViewId="0">
      <selection activeCell="B27" sqref="B27"/>
    </sheetView>
  </sheetViews>
  <sheetFormatPr defaultRowHeight="14.4" x14ac:dyDescent="0.3"/>
  <cols>
    <col min="1" max="1" width="21" customWidth="1"/>
    <col min="2" max="2" width="29.88671875" customWidth="1"/>
    <col min="3" max="3" width="30.5546875" customWidth="1"/>
    <col min="4" max="4" width="17.44140625" customWidth="1"/>
  </cols>
  <sheetData>
    <row r="1" spans="1:4" x14ac:dyDescent="0.3">
      <c r="A1" s="4" t="s">
        <v>0</v>
      </c>
      <c r="B1" s="4" t="s">
        <v>26</v>
      </c>
      <c r="C1" s="4" t="s">
        <v>1</v>
      </c>
      <c r="D1" s="5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s="3">
        <v>65999</v>
      </c>
    </row>
    <row r="3" spans="1:4" x14ac:dyDescent="0.3">
      <c r="A3" s="2" t="s">
        <v>6</v>
      </c>
      <c r="B3" s="2" t="s">
        <v>7</v>
      </c>
      <c r="C3" s="2" t="s">
        <v>5</v>
      </c>
      <c r="D3" s="3">
        <v>129999</v>
      </c>
    </row>
    <row r="4" spans="1:4" x14ac:dyDescent="0.3">
      <c r="A4" s="2" t="s">
        <v>8</v>
      </c>
      <c r="B4" s="2" t="s">
        <v>9</v>
      </c>
      <c r="C4" s="2" t="s">
        <v>5</v>
      </c>
      <c r="D4" s="3">
        <v>29999</v>
      </c>
    </row>
    <row r="5" spans="1:4" x14ac:dyDescent="0.3">
      <c r="A5" s="2" t="s">
        <v>10</v>
      </c>
      <c r="B5" s="2" t="s">
        <v>11</v>
      </c>
      <c r="C5" s="2" t="s">
        <v>12</v>
      </c>
      <c r="D5" s="3">
        <v>7995</v>
      </c>
    </row>
    <row r="6" spans="1:4" x14ac:dyDescent="0.3">
      <c r="A6" s="2" t="s">
        <v>13</v>
      </c>
      <c r="B6" s="2" t="s">
        <v>14</v>
      </c>
      <c r="C6" s="2" t="s">
        <v>5</v>
      </c>
      <c r="D6" s="3">
        <v>24999</v>
      </c>
    </row>
    <row r="7" spans="1:4" x14ac:dyDescent="0.3">
      <c r="A7" s="2" t="s">
        <v>15</v>
      </c>
      <c r="B7" s="2" t="s">
        <v>16</v>
      </c>
      <c r="C7" s="2" t="s">
        <v>5</v>
      </c>
      <c r="D7" s="3">
        <v>38990</v>
      </c>
    </row>
    <row r="8" spans="1:4" x14ac:dyDescent="0.3">
      <c r="A8" s="2" t="s">
        <v>17</v>
      </c>
      <c r="B8" s="2" t="s">
        <v>18</v>
      </c>
      <c r="C8" s="2" t="s">
        <v>19</v>
      </c>
      <c r="D8" s="3">
        <v>6799</v>
      </c>
    </row>
    <row r="9" spans="1:4" x14ac:dyDescent="0.3">
      <c r="A9" s="2" t="s">
        <v>20</v>
      </c>
      <c r="B9" s="2" t="s">
        <v>21</v>
      </c>
      <c r="C9" s="2" t="s">
        <v>12</v>
      </c>
      <c r="D9" s="3">
        <v>699</v>
      </c>
    </row>
    <row r="10" spans="1:4" x14ac:dyDescent="0.3">
      <c r="A10" s="2" t="s">
        <v>22</v>
      </c>
      <c r="B10" s="2" t="s">
        <v>23</v>
      </c>
      <c r="C10" s="2" t="s">
        <v>5</v>
      </c>
      <c r="D10" s="3">
        <v>4295</v>
      </c>
    </row>
    <row r="11" spans="1:4" x14ac:dyDescent="0.3">
      <c r="A11" s="2" t="s">
        <v>24</v>
      </c>
      <c r="B11" s="2" t="s">
        <v>25</v>
      </c>
      <c r="C11" s="2" t="s">
        <v>19</v>
      </c>
      <c r="D11" s="3">
        <v>3495</v>
      </c>
    </row>
    <row r="13" spans="1:4" x14ac:dyDescent="0.3">
      <c r="B13" s="6"/>
      <c r="C13" s="1"/>
    </row>
    <row r="14" spans="1:4" x14ac:dyDescent="0.3">
      <c r="B14" s="4" t="s">
        <v>0</v>
      </c>
      <c r="C14" s="4" t="s">
        <v>26</v>
      </c>
    </row>
    <row r="15" spans="1:4" x14ac:dyDescent="0.3">
      <c r="B15" s="7" t="s">
        <v>3</v>
      </c>
      <c r="C15" s="7" t="str">
        <f>_xlfn.XLOOKUP(B15, $A$2:$A$11, $B$2:$B$11)</f>
        <v>Apple iPhone 15 (128 GB)</v>
      </c>
    </row>
    <row r="16" spans="1:4" x14ac:dyDescent="0.3">
      <c r="B16" s="7" t="s">
        <v>8</v>
      </c>
      <c r="C16" s="7" t="str">
        <f t="shared" ref="C16:C17" si="0">_xlfn.XLOOKUP(B16, $A$2:$A$11, $B$2:$B$11)</f>
        <v>Sony WH-1000XM5 Headphones</v>
      </c>
    </row>
    <row r="17" spans="2:3" x14ac:dyDescent="0.3">
      <c r="B17" s="7" t="s">
        <v>13</v>
      </c>
      <c r="C17" s="7" t="str">
        <f t="shared" si="0"/>
        <v>Mi Smart TV 5A 43 inch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415A-041A-4A8C-8557-40ECC580BD4F}">
  <dimension ref="A1:D10"/>
  <sheetViews>
    <sheetView workbookViewId="0">
      <selection activeCell="D19" sqref="D19"/>
    </sheetView>
  </sheetViews>
  <sheetFormatPr defaultRowHeight="14.4" x14ac:dyDescent="0.3"/>
  <cols>
    <col min="1" max="1" width="33.77734375" customWidth="1"/>
    <col min="2" max="2" width="15.109375" bestFit="1" customWidth="1"/>
    <col min="3" max="3" width="9.77734375" bestFit="1" customWidth="1"/>
    <col min="4" max="4" width="9.109375" bestFit="1" customWidth="1"/>
  </cols>
  <sheetData>
    <row r="1" spans="1:4" x14ac:dyDescent="0.3">
      <c r="A1" s="14" t="s">
        <v>41</v>
      </c>
      <c r="B1" s="14" t="s">
        <v>40</v>
      </c>
      <c r="C1" s="13" t="s">
        <v>39</v>
      </c>
      <c r="D1" s="12" t="s">
        <v>38</v>
      </c>
    </row>
    <row r="2" spans="1:4" x14ac:dyDescent="0.3">
      <c r="A2" s="7" t="s">
        <v>37</v>
      </c>
      <c r="B2" s="7" t="s">
        <v>30</v>
      </c>
      <c r="C2" s="11">
        <v>46204</v>
      </c>
      <c r="D2" s="10">
        <v>450</v>
      </c>
    </row>
    <row r="3" spans="1:4" x14ac:dyDescent="0.3">
      <c r="A3" s="7" t="s">
        <v>36</v>
      </c>
      <c r="B3" s="7" t="s">
        <v>32</v>
      </c>
      <c r="C3" s="11">
        <v>46205</v>
      </c>
      <c r="D3" s="10">
        <v>1800</v>
      </c>
    </row>
    <row r="4" spans="1:4" x14ac:dyDescent="0.3">
      <c r="A4" s="7" t="s">
        <v>35</v>
      </c>
      <c r="B4" s="7" t="s">
        <v>30</v>
      </c>
      <c r="C4" s="11">
        <v>46208</v>
      </c>
      <c r="D4" s="10">
        <v>320</v>
      </c>
    </row>
    <row r="5" spans="1:4" x14ac:dyDescent="0.3">
      <c r="A5" s="7" t="s">
        <v>34</v>
      </c>
      <c r="B5" s="7" t="s">
        <v>28</v>
      </c>
      <c r="C5" s="11">
        <v>46211</v>
      </c>
      <c r="D5" s="10">
        <v>250</v>
      </c>
    </row>
    <row r="6" spans="1:4" x14ac:dyDescent="0.3">
      <c r="A6" s="7" t="s">
        <v>33</v>
      </c>
      <c r="B6" s="7" t="s">
        <v>32</v>
      </c>
      <c r="C6" s="11">
        <v>46213</v>
      </c>
      <c r="D6" s="10">
        <v>2200</v>
      </c>
    </row>
    <row r="7" spans="1:4" x14ac:dyDescent="0.3">
      <c r="A7" s="7" t="s">
        <v>31</v>
      </c>
      <c r="B7" s="7" t="s">
        <v>30</v>
      </c>
      <c r="C7" s="11">
        <v>46215</v>
      </c>
      <c r="D7" s="10">
        <v>680</v>
      </c>
    </row>
    <row r="8" spans="1:4" x14ac:dyDescent="0.3">
      <c r="A8" s="7" t="s">
        <v>29</v>
      </c>
      <c r="B8" s="7" t="s">
        <v>28</v>
      </c>
      <c r="C8" s="11">
        <v>46218</v>
      </c>
      <c r="D8" s="10">
        <v>410</v>
      </c>
    </row>
    <row r="10" spans="1:4" x14ac:dyDescent="0.3">
      <c r="A10" s="9" t="s">
        <v>27</v>
      </c>
      <c r="B10" s="8">
        <f>_xlfn.XLOOKUP(B8,B2:B8,D2:D8,"Not Found",0,-1)</f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8A0F-B98A-4502-A26C-9B22133BFB24}">
  <dimension ref="B2:E10"/>
  <sheetViews>
    <sheetView workbookViewId="0">
      <selection activeCell="C20" sqref="C20"/>
    </sheetView>
  </sheetViews>
  <sheetFormatPr defaultRowHeight="14.4" x14ac:dyDescent="0.3"/>
  <cols>
    <col min="2" max="2" width="13.6640625" bestFit="1" customWidth="1"/>
    <col min="3" max="3" width="19.44140625" customWidth="1"/>
    <col min="4" max="4" width="9.6640625" bestFit="1" customWidth="1"/>
    <col min="5" max="5" width="14.6640625" bestFit="1" customWidth="1"/>
  </cols>
  <sheetData>
    <row r="2" spans="2:5" x14ac:dyDescent="0.3">
      <c r="B2" s="17" t="s">
        <v>43</v>
      </c>
      <c r="C2" s="17" t="s">
        <v>44</v>
      </c>
      <c r="D2" s="17" t="s">
        <v>59</v>
      </c>
      <c r="E2" s="17" t="s">
        <v>58</v>
      </c>
    </row>
    <row r="3" spans="2:5" x14ac:dyDescent="0.3">
      <c r="B3" s="7" t="s">
        <v>57</v>
      </c>
      <c r="C3" s="7" t="s">
        <v>56</v>
      </c>
      <c r="D3" s="7" t="s">
        <v>48</v>
      </c>
      <c r="E3" s="7">
        <v>120</v>
      </c>
    </row>
    <row r="4" spans="2:5" x14ac:dyDescent="0.3">
      <c r="B4" s="7" t="s">
        <v>55</v>
      </c>
      <c r="C4" s="7" t="s">
        <v>42</v>
      </c>
      <c r="D4" s="7" t="s">
        <v>54</v>
      </c>
      <c r="E4" s="7">
        <v>45</v>
      </c>
    </row>
    <row r="5" spans="2:5" x14ac:dyDescent="0.3">
      <c r="B5" s="7" t="s">
        <v>53</v>
      </c>
      <c r="C5" s="7" t="s">
        <v>52</v>
      </c>
      <c r="D5" s="7" t="s">
        <v>51</v>
      </c>
      <c r="E5" s="7">
        <v>82</v>
      </c>
    </row>
    <row r="6" spans="2:5" x14ac:dyDescent="0.3">
      <c r="B6" s="7" t="s">
        <v>50</v>
      </c>
      <c r="C6" s="7" t="s">
        <v>49</v>
      </c>
      <c r="D6" s="7" t="s">
        <v>48</v>
      </c>
      <c r="E6" s="7">
        <v>60</v>
      </c>
    </row>
    <row r="7" spans="2:5" x14ac:dyDescent="0.3">
      <c r="B7" s="7" t="s">
        <v>47</v>
      </c>
      <c r="C7" s="7" t="s">
        <v>46</v>
      </c>
      <c r="D7" s="7" t="s">
        <v>45</v>
      </c>
      <c r="E7" s="7">
        <v>95</v>
      </c>
    </row>
    <row r="9" spans="2:5" x14ac:dyDescent="0.3">
      <c r="B9" s="16" t="s">
        <v>44</v>
      </c>
      <c r="C9" s="16" t="s">
        <v>43</v>
      </c>
    </row>
    <row r="10" spans="2:5" x14ac:dyDescent="0.3">
      <c r="B10" s="7" t="s">
        <v>42</v>
      </c>
      <c r="C10" s="15" t="str">
        <f>_xlfn.XLOOKUP(B10,C3:C7,B3:B7,"No playlist available",0)</f>
        <v>Heavy Lifters</v>
      </c>
    </row>
  </sheetData>
  <dataValidations count="1">
    <dataValidation type="list" allowBlank="1" showInputMessage="1" showErrorMessage="1" sqref="B10" xr:uid="{C7EAD47F-BD2F-4E7B-AF3C-F146F80BBA43}">
      <formula1>$C$3:$C$7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53F9-548B-439E-AB0D-8E759ACC240C}">
  <dimension ref="A1:D11"/>
  <sheetViews>
    <sheetView workbookViewId="0">
      <selection activeCell="B25" sqref="B25"/>
    </sheetView>
  </sheetViews>
  <sheetFormatPr defaultRowHeight="14.4" x14ac:dyDescent="0.3"/>
  <cols>
    <col min="1" max="1" width="11.5546875" bestFit="1" customWidth="1"/>
    <col min="2" max="2" width="47" customWidth="1"/>
    <col min="3" max="3" width="22.21875" bestFit="1" customWidth="1"/>
    <col min="4" max="4" width="34" bestFit="1" customWidth="1"/>
  </cols>
  <sheetData>
    <row r="1" spans="1:4" x14ac:dyDescent="0.3">
      <c r="A1" s="17" t="s">
        <v>62</v>
      </c>
      <c r="B1" s="17" t="s">
        <v>88</v>
      </c>
      <c r="C1" s="17" t="s">
        <v>87</v>
      </c>
      <c r="D1" s="17" t="s">
        <v>61</v>
      </c>
    </row>
    <row r="2" spans="1:4" x14ac:dyDescent="0.3">
      <c r="A2" s="7" t="s">
        <v>60</v>
      </c>
      <c r="B2" s="7" t="s">
        <v>86</v>
      </c>
      <c r="C2" s="7" t="s">
        <v>64</v>
      </c>
      <c r="D2" s="7" t="s">
        <v>67</v>
      </c>
    </row>
    <row r="3" spans="1:4" x14ac:dyDescent="0.3">
      <c r="A3" s="7" t="s">
        <v>85</v>
      </c>
      <c r="B3" s="7" t="s">
        <v>84</v>
      </c>
      <c r="C3" s="7" t="s">
        <v>83</v>
      </c>
      <c r="D3" s="7" t="s">
        <v>82</v>
      </c>
    </row>
    <row r="4" spans="1:4" x14ac:dyDescent="0.3">
      <c r="A4" s="7" t="s">
        <v>81</v>
      </c>
      <c r="B4" s="7" t="s">
        <v>80</v>
      </c>
      <c r="C4" s="7" t="s">
        <v>79</v>
      </c>
      <c r="D4" s="7" t="s">
        <v>78</v>
      </c>
    </row>
    <row r="5" spans="1:4" x14ac:dyDescent="0.3">
      <c r="A5" s="7" t="s">
        <v>77</v>
      </c>
      <c r="B5" s="7" t="s">
        <v>76</v>
      </c>
      <c r="C5" s="7" t="s">
        <v>75</v>
      </c>
      <c r="D5" s="7" t="s">
        <v>67</v>
      </c>
    </row>
    <row r="6" spans="1:4" x14ac:dyDescent="0.3">
      <c r="A6" s="7" t="s">
        <v>74</v>
      </c>
      <c r="B6" s="7" t="s">
        <v>73</v>
      </c>
      <c r="C6" s="7" t="s">
        <v>72</v>
      </c>
      <c r="D6" s="7" t="s">
        <v>71</v>
      </c>
    </row>
    <row r="7" spans="1:4" x14ac:dyDescent="0.3">
      <c r="A7" s="7" t="s">
        <v>70</v>
      </c>
      <c r="B7" s="7" t="s">
        <v>69</v>
      </c>
      <c r="C7" s="7" t="s">
        <v>68</v>
      </c>
      <c r="D7" s="7" t="s">
        <v>67</v>
      </c>
    </row>
    <row r="8" spans="1:4" x14ac:dyDescent="0.3">
      <c r="A8" s="7" t="s">
        <v>66</v>
      </c>
      <c r="B8" s="7" t="s">
        <v>65</v>
      </c>
      <c r="C8" s="7" t="s">
        <v>64</v>
      </c>
      <c r="D8" s="7" t="s">
        <v>63</v>
      </c>
    </row>
    <row r="10" spans="1:4" x14ac:dyDescent="0.3">
      <c r="A10" s="18" t="s">
        <v>62</v>
      </c>
      <c r="B10" s="18" t="s">
        <v>61</v>
      </c>
    </row>
    <row r="11" spans="1:4" x14ac:dyDescent="0.3">
      <c r="A11" s="7" t="s">
        <v>60</v>
      </c>
      <c r="B11" s="15" t="str">
        <f>_xlfn.XLOOKUP(A11,A2:A8,D2:D8,"Booking not found",0)</f>
        <v>CNF (Confirmed)</v>
      </c>
    </row>
  </sheetData>
  <dataValidations count="1">
    <dataValidation type="list" allowBlank="1" showInputMessage="1" showErrorMessage="1" sqref="A11" xr:uid="{54B772D4-8A86-4EDD-9F61-CDBAB0330C7D}">
      <formula1>$A$2:$A$8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6639-9881-4919-B679-AA1D07C53CDA}">
  <dimension ref="A1:E9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4.21875" bestFit="1" customWidth="1"/>
    <col min="3" max="3" width="26.33203125" bestFit="1" customWidth="1"/>
    <col min="4" max="4" width="11.44140625" bestFit="1" customWidth="1"/>
    <col min="5" max="5" width="8.5546875" bestFit="1" customWidth="1"/>
  </cols>
  <sheetData>
    <row r="1" spans="1:5" x14ac:dyDescent="0.3">
      <c r="A1" s="17" t="s">
        <v>41</v>
      </c>
      <c r="B1" s="17" t="s">
        <v>106</v>
      </c>
      <c r="C1" s="17" t="s">
        <v>105</v>
      </c>
      <c r="D1" s="17" t="s">
        <v>89</v>
      </c>
      <c r="E1" s="17" t="s">
        <v>61</v>
      </c>
    </row>
    <row r="2" spans="1:5" x14ac:dyDescent="0.3">
      <c r="A2" s="7" t="s">
        <v>104</v>
      </c>
      <c r="B2" s="7" t="s">
        <v>103</v>
      </c>
      <c r="C2" s="7" t="s">
        <v>102</v>
      </c>
      <c r="D2" s="11">
        <v>46215</v>
      </c>
      <c r="E2" s="7" t="s">
        <v>94</v>
      </c>
    </row>
    <row r="3" spans="1:5" x14ac:dyDescent="0.3">
      <c r="A3" s="7" t="s">
        <v>101</v>
      </c>
      <c r="B3" s="7" t="s">
        <v>84</v>
      </c>
      <c r="C3" s="7" t="s">
        <v>100</v>
      </c>
      <c r="D3" s="11">
        <v>46218</v>
      </c>
      <c r="E3" s="7" t="s">
        <v>94</v>
      </c>
    </row>
    <row r="4" spans="1:5" x14ac:dyDescent="0.3">
      <c r="A4" s="7" t="s">
        <v>99</v>
      </c>
      <c r="B4" s="7" t="s">
        <v>98</v>
      </c>
      <c r="C4" s="7" t="s">
        <v>97</v>
      </c>
      <c r="D4" s="11">
        <v>46222</v>
      </c>
      <c r="E4" s="7" t="s">
        <v>96</v>
      </c>
    </row>
    <row r="5" spans="1:5" x14ac:dyDescent="0.3">
      <c r="A5" s="7" t="s">
        <v>90</v>
      </c>
      <c r="B5" s="7" t="s">
        <v>76</v>
      </c>
      <c r="C5" s="7" t="s">
        <v>95</v>
      </c>
      <c r="D5" s="11">
        <v>46217</v>
      </c>
      <c r="E5" s="7" t="s">
        <v>94</v>
      </c>
    </row>
    <row r="6" spans="1:5" x14ac:dyDescent="0.3">
      <c r="A6" s="7" t="s">
        <v>93</v>
      </c>
      <c r="B6" s="7" t="s">
        <v>65</v>
      </c>
      <c r="C6" s="7" t="s">
        <v>92</v>
      </c>
      <c r="D6" s="11">
        <v>46224</v>
      </c>
      <c r="E6" s="7" t="s">
        <v>91</v>
      </c>
    </row>
    <row r="8" spans="1:5" x14ac:dyDescent="0.3">
      <c r="B8" s="20" t="s">
        <v>41</v>
      </c>
      <c r="C8" s="21" t="s">
        <v>90</v>
      </c>
    </row>
    <row r="9" spans="1:5" x14ac:dyDescent="0.3">
      <c r="B9" s="20" t="s">
        <v>89</v>
      </c>
      <c r="C9" s="19">
        <f>_xlfn.XLOOKUP(C8,A2:A6,D2:D6,"Order not found",0)</f>
        <v>46217</v>
      </c>
    </row>
  </sheetData>
  <dataValidations count="1">
    <dataValidation type="list" allowBlank="1" showInputMessage="1" showErrorMessage="1" sqref="C8" xr:uid="{B461E744-4DD9-4A90-94B6-EF4A2E1288BA}">
      <formula1>$A$2:$A$6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2026-07-18T09:21:43Z</dcterms:created>
  <dcterms:modified xsi:type="dcterms:W3CDTF">2026-07-19T20:01:22Z</dcterms:modified>
</cp:coreProperties>
</file>