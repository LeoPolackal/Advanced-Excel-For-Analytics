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.b.polackal\Downloads\"/>
    </mc:Choice>
  </mc:AlternateContent>
  <xr:revisionPtr revIDLastSave="0" documentId="8_{A5B8FB78-A9A4-4A49-8EE3-F506544B1289}" xr6:coauthVersionLast="47" xr6:coauthVersionMax="47" xr10:uidLastSave="{00000000-0000-0000-0000-000000000000}"/>
  <bookViews>
    <workbookView xWindow="-108" yWindow="-108" windowWidth="23256" windowHeight="12456" activeTab="2" xr2:uid="{60A106C2-592C-4612-922D-F634487368C7}"/>
  </bookViews>
  <sheets>
    <sheet name="1" sheetId="1" r:id="rId1"/>
    <sheet name="2" sheetId="2" r:id="rId2"/>
    <sheet name="3,4&amp;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</calcChain>
</file>

<file path=xl/sharedStrings.xml><?xml version="1.0" encoding="utf-8"?>
<sst xmlns="http://schemas.openxmlformats.org/spreadsheetml/2006/main" count="699" uniqueCount="248">
  <si>
    <t>Order ID</t>
  </si>
  <si>
    <t>Customer Name</t>
  </si>
  <si>
    <t>Full Address</t>
  </si>
  <si>
    <t>Email Address</t>
  </si>
  <si>
    <t>Phone Number</t>
  </si>
  <si>
    <t>Matches</t>
  </si>
  <si>
    <t>Total Runs</t>
  </si>
  <si>
    <t>Innings Batted</t>
  </si>
  <si>
    <t>Runs Per Inning</t>
  </si>
  <si>
    <t>Status/Note</t>
  </si>
  <si>
    <t>ORD4001</t>
  </si>
  <si>
    <t>Rahul Patel</t>
  </si>
  <si>
    <t>Flat 12B, Sunrise Apartments, SG Highway, Ahmedabad</t>
  </si>
  <si>
    <t>rahul.patel99@gmail.com</t>
  </si>
  <si>
    <t>Active</t>
  </si>
  <si>
    <t>ORD4002</t>
  </si>
  <si>
    <t>Priya Sharma</t>
  </si>
  <si>
    <t>Sector 4, Royal Palms, VIP Road, Surat</t>
  </si>
  <si>
    <t>priya.sharma@yahoo.com</t>
  </si>
  <si>
    <t>ORD4003</t>
  </si>
  <si>
    <t>Amit Shah</t>
  </si>
  <si>
    <t>Apt 402, Green Acres, Satellite, Ahmedabad</t>
  </si>
  <si>
    <t>amit.shah.ai@outlook.com</t>
  </si>
  <si>
    <t>ORD4004</t>
  </si>
  <si>
    <t>Sneha Reddy</t>
  </si>
  <si>
    <t>Villa 9, Silver Oak, Gachibowli, Hyderabad</t>
  </si>
  <si>
    <t>sneha.r@gmail.com</t>
  </si>
  <si>
    <t>Injured</t>
  </si>
  <si>
    <t>ORD4005</t>
  </si>
  <si>
    <t>Vikram Singh</t>
  </si>
  <si>
    <t>Plot 45, Sun City, Jodhpur Road, Jaipur</t>
  </si>
  <si>
    <t>vikram.s@gmail.com</t>
  </si>
  <si>
    <t>ORD4006</t>
  </si>
  <si>
    <t>Ananya Desai</t>
  </si>
  <si>
    <t>Flat 5C, Sky High, Dumas Road, Surat</t>
  </si>
  <si>
    <t>ananya.d@gmail.com</t>
  </si>
  <si>
    <t>Text</t>
  </si>
  <si>
    <t>ORD4007</t>
  </si>
  <si>
    <t>Rohan Mehta</t>
  </si>
  <si>
    <t>Room 12, Gokul Dham, Link Road, Mumbai</t>
  </si>
  <si>
    <t>rohan.mehta@gmail.com</t>
  </si>
  <si>
    <t>ORD4008</t>
  </si>
  <si>
    <t>Neha Gupta</t>
  </si>
  <si>
    <t>House 22, Rose Gardens, MG Road, Bangalore</t>
  </si>
  <si>
    <t>neha.g12@yahoo.com</t>
  </si>
  <si>
    <t>DUPLICATE</t>
  </si>
  <si>
    <t>ORD4009</t>
  </si>
  <si>
    <t>Karan Malhotra</t>
  </si>
  <si>
    <t>Suite 101, Business Hub, Bandra, Mumbai</t>
  </si>
  <si>
    <t>karan.m@outlook.com</t>
  </si>
  <si>
    <t>ORD4010</t>
  </si>
  <si>
    <t>Pooja Joshi</t>
  </si>
  <si>
    <t>Flat 8A, Hill View, Kothrud, Pune</t>
  </si>
  <si>
    <t>pooja.j@gmail.com</t>
  </si>
  <si>
    <t>ORD4011</t>
  </si>
  <si>
    <t>Vivek Verma</t>
  </si>
  <si>
    <t>Block B, Alpine Heights, Gomti Nagar, Lucknow</t>
  </si>
  <si>
    <t>vivek.v@gmail.com</t>
  </si>
  <si>
    <t>ORD4012</t>
  </si>
  <si>
    <t>Aditi Rao</t>
  </si>
  <si>
    <t>Flat 303, Pearl Residency, Gariahat, Kolkata</t>
  </si>
  <si>
    <t>aditi.rao@yahoo.com</t>
  </si>
  <si>
    <t>ORD4013</t>
  </si>
  <si>
    <t>Manoj Tiwari</t>
  </si>
  <si>
    <t>Plot 88, Shakti Nagar, Boring Road, Patna</t>
  </si>
  <si>
    <t>manoj.t@gmail.com</t>
  </si>
  <si>
    <t>ORD4014</t>
  </si>
  <si>
    <t>Deepa Nair</t>
  </si>
  <si>
    <t>House 14, Coconut Grove, MG Road, Kochi</t>
  </si>
  <si>
    <t>deepa.nair@gmail.com</t>
  </si>
  <si>
    <t>ORD4015</t>
  </si>
  <si>
    <t>Sandeep Kumar</t>
  </si>
  <si>
    <t>Apt 501, Unity Towers, Station Road, Ranchi</t>
  </si>
  <si>
    <t>sandeep.k@gmail.com</t>
  </si>
  <si>
    <t>ORD4016</t>
  </si>
  <si>
    <t>Meera Pillai</t>
  </si>
  <si>
    <t>Villa 4, Ocean Breeze, ECR, Chennai</t>
  </si>
  <si>
    <t>meera.p@outlook.com</t>
  </si>
  <si>
    <t>ORD4017</t>
  </si>
  <si>
    <t>Sanjay Dutt</t>
  </si>
  <si>
    <t>Flat 9F, Galaxy Vista, Hazratganj, Lucknow</t>
  </si>
  <si>
    <t>sanjay.d@gmail.com</t>
  </si>
  <si>
    <t>ORD4018</t>
  </si>
  <si>
    <t>Harish Patel</t>
  </si>
  <si>
    <t>House 73, Shanti Kunj, Ashram Road, Ahmedabad</t>
  </si>
  <si>
    <t>harish.p@gmail.com</t>
  </si>
  <si>
    <t>ORD4019</t>
  </si>
  <si>
    <t>Divya Khosla</t>
  </si>
  <si>
    <t>Suite 302, Corporate Plaza, Andheri, Mumbai</t>
  </si>
  <si>
    <t>divya.k@yahoo.com</t>
  </si>
  <si>
    <t>ORD4020</t>
  </si>
  <si>
    <t>Rajesh Khanna</t>
  </si>
  <si>
    <t>Plot 12, Anand Vihar, Tonk Road, Jaipur</t>
  </si>
  <si>
    <t>rajesh.k@gmail.com</t>
  </si>
  <si>
    <t>ORD4021</t>
  </si>
  <si>
    <t>Kavita Krishnan</t>
  </si>
  <si>
    <t>Flat 4B, Lotus Court, Indiranagar, Bangalore</t>
  </si>
  <si>
    <t>kavita.k@gmail.com</t>
  </si>
  <si>
    <t>ORD4022</t>
  </si>
  <si>
    <t>Arun Jetly</t>
  </si>
  <si>
    <t>Apt 204, Pinnacle Crest, OMR, Chennai</t>
  </si>
  <si>
    <t>arun.j@outlook.com</t>
  </si>
  <si>
    <t>ORD4023</t>
  </si>
  <si>
    <t>Nisha Gill</t>
  </si>
  <si>
    <t>Villa 18, Green Meadows, Airport Road, Chandigarh</t>
  </si>
  <si>
    <t>nisha.g@gmail.com</t>
  </si>
  <si>
    <t>ORD4024</t>
  </si>
  <si>
    <t>Tarun Kumar</t>
  </si>
  <si>
    <t>Flat 102, Shanti Sadan, Pal, Surat</t>
  </si>
  <si>
    <t>tarun.k@yahoo.com</t>
  </si>
  <si>
    <t>ORD4025</t>
  </si>
  <si>
    <t>Swati Maliwal</t>
  </si>
  <si>
    <t>House 9, Orchid Enclave, Rajarhat, Kolkata</t>
  </si>
  <si>
    <t>swati.m@gmail.com</t>
  </si>
  <si>
    <t>ORD4026</t>
  </si>
  <si>
    <t>Vijay Mallya</t>
  </si>
  <si>
    <t>Suite 99, Kingfisher Towers, UB City, Bangalore</t>
  </si>
  <si>
    <t>vijay.m@gmail.com</t>
  </si>
  <si>
    <t>ORD4027</t>
  </si>
  <si>
    <t>Ishan Kishan</t>
  </si>
  <si>
    <t>Flat 44, Dynamic Heights, Adajan, Surat</t>
  </si>
  <si>
    <t>ishan.k@gmail.com</t>
  </si>
  <si>
    <t>Flat 12B</t>
  </si>
  <si>
    <t xml:space="preserve"> Sunrise Apartments</t>
  </si>
  <si>
    <t xml:space="preserve"> SG Highway</t>
  </si>
  <si>
    <t xml:space="preserve"> Ahmedabad</t>
  </si>
  <si>
    <t>Sector 4</t>
  </si>
  <si>
    <t xml:space="preserve"> Royal Palms</t>
  </si>
  <si>
    <t xml:space="preserve"> VIP Road</t>
  </si>
  <si>
    <t xml:space="preserve"> Surat</t>
  </si>
  <si>
    <t>Apt 402</t>
  </si>
  <si>
    <t xml:space="preserve"> Green Acres</t>
  </si>
  <si>
    <t xml:space="preserve"> Satellite</t>
  </si>
  <si>
    <t>Villa 9</t>
  </si>
  <si>
    <t xml:space="preserve"> Silver Oak</t>
  </si>
  <si>
    <t xml:space="preserve"> Gachibowli</t>
  </si>
  <si>
    <t xml:space="preserve"> Hyderabad</t>
  </si>
  <si>
    <t>Plot 45</t>
  </si>
  <si>
    <t xml:space="preserve"> Sun City</t>
  </si>
  <si>
    <t xml:space="preserve"> Jodhpur Road</t>
  </si>
  <si>
    <t xml:space="preserve"> Jaipur</t>
  </si>
  <si>
    <t>Flat 5C</t>
  </si>
  <si>
    <t xml:space="preserve"> Sky High</t>
  </si>
  <si>
    <t xml:space="preserve"> Dumas Road</t>
  </si>
  <si>
    <t>Room 12</t>
  </si>
  <si>
    <t xml:space="preserve"> Gokul Dham</t>
  </si>
  <si>
    <t xml:space="preserve"> Link Road</t>
  </si>
  <si>
    <t xml:space="preserve"> Mumbai</t>
  </si>
  <si>
    <t>House 22</t>
  </si>
  <si>
    <t xml:space="preserve"> Rose Gardens</t>
  </si>
  <si>
    <t xml:space="preserve"> MG Road</t>
  </si>
  <si>
    <t xml:space="preserve"> Bangalore</t>
  </si>
  <si>
    <t>Suite 101</t>
  </si>
  <si>
    <t xml:space="preserve"> Business Hub</t>
  </si>
  <si>
    <t xml:space="preserve"> Bandra</t>
  </si>
  <si>
    <t>Flat 8A</t>
  </si>
  <si>
    <t xml:space="preserve"> Hill View</t>
  </si>
  <si>
    <t xml:space="preserve"> Kothrud</t>
  </si>
  <si>
    <t xml:space="preserve"> Pune</t>
  </si>
  <si>
    <t>Block B</t>
  </si>
  <si>
    <t xml:space="preserve"> Alpine Heights</t>
  </si>
  <si>
    <t xml:space="preserve"> Gomti Nagar</t>
  </si>
  <si>
    <t xml:space="preserve"> Lucknow</t>
  </si>
  <si>
    <t>Flat 303</t>
  </si>
  <si>
    <t xml:space="preserve"> Pearl Residency</t>
  </si>
  <si>
    <t xml:space="preserve"> Gariahat</t>
  </si>
  <si>
    <t xml:space="preserve"> Kolkata</t>
  </si>
  <si>
    <t>Plot 88</t>
  </si>
  <si>
    <t xml:space="preserve"> Shakti Nagar</t>
  </si>
  <si>
    <t xml:space="preserve"> Boring Road</t>
  </si>
  <si>
    <t xml:space="preserve"> Patna</t>
  </si>
  <si>
    <t>House 14</t>
  </si>
  <si>
    <t xml:space="preserve"> Coconut Grove</t>
  </si>
  <si>
    <t xml:space="preserve"> Kochi</t>
  </si>
  <si>
    <t>Apt 501</t>
  </si>
  <si>
    <t xml:space="preserve"> Unity Towers</t>
  </si>
  <si>
    <t xml:space="preserve"> Station Road</t>
  </si>
  <si>
    <t xml:space="preserve"> Ranchi</t>
  </si>
  <si>
    <t>Villa 4</t>
  </si>
  <si>
    <t xml:space="preserve"> Ocean Breeze</t>
  </si>
  <si>
    <t xml:space="preserve"> ECR</t>
  </si>
  <si>
    <t xml:space="preserve"> Chennai</t>
  </si>
  <si>
    <t>Flat 9F</t>
  </si>
  <si>
    <t xml:space="preserve"> Galaxy Vista</t>
  </si>
  <si>
    <t xml:space="preserve"> Hazratganj</t>
  </si>
  <si>
    <t>House 73</t>
  </si>
  <si>
    <t xml:space="preserve"> Shanti Kunj</t>
  </si>
  <si>
    <t xml:space="preserve"> Ashram Road</t>
  </si>
  <si>
    <t>Suite 302</t>
  </si>
  <si>
    <t xml:space="preserve"> Corporate Plaza</t>
  </si>
  <si>
    <t xml:space="preserve"> Andheri</t>
  </si>
  <si>
    <t>Plot 12</t>
  </si>
  <si>
    <t xml:space="preserve"> Anand Vihar</t>
  </si>
  <si>
    <t xml:space="preserve"> Tonk Road</t>
  </si>
  <si>
    <t>Flat 4B</t>
  </si>
  <si>
    <t xml:space="preserve"> Lotus Court</t>
  </si>
  <si>
    <t xml:space="preserve"> Indiranagar</t>
  </si>
  <si>
    <t>Apt 204</t>
  </si>
  <si>
    <t xml:space="preserve"> Pinnacle Crest</t>
  </si>
  <si>
    <t xml:space="preserve"> OMR</t>
  </si>
  <si>
    <t>Villa 18</t>
  </si>
  <si>
    <t xml:space="preserve"> Green Meadows</t>
  </si>
  <si>
    <t xml:space="preserve"> Airport Road</t>
  </si>
  <si>
    <t xml:space="preserve"> Chandigarh</t>
  </si>
  <si>
    <t>Flat 102</t>
  </si>
  <si>
    <t xml:space="preserve"> Shanti Sadan</t>
  </si>
  <si>
    <t xml:space="preserve"> Pal</t>
  </si>
  <si>
    <t>House 9</t>
  </si>
  <si>
    <t xml:space="preserve"> Orchid Enclave</t>
  </si>
  <si>
    <t xml:space="preserve"> Rajarhat</t>
  </si>
  <si>
    <t>Suite 99</t>
  </si>
  <si>
    <t xml:space="preserve"> Kingfisher Towers</t>
  </si>
  <si>
    <t xml:space="preserve"> UB City</t>
  </si>
  <si>
    <t>Flat 44</t>
  </si>
  <si>
    <t xml:space="preserve"> Dynamic Heights</t>
  </si>
  <si>
    <t xml:space="preserve"> Adajan</t>
  </si>
  <si>
    <t>Flat Number</t>
  </si>
  <si>
    <t>Building name</t>
  </si>
  <si>
    <t>Street</t>
  </si>
  <si>
    <t>City</t>
  </si>
  <si>
    <t>rahul.patel99</t>
  </si>
  <si>
    <t>priya.sharma</t>
  </si>
  <si>
    <t>amit.shah.ai</t>
  </si>
  <si>
    <t>sneha.r</t>
  </si>
  <si>
    <t>vikram.s</t>
  </si>
  <si>
    <t>ananya.d</t>
  </si>
  <si>
    <t>rohan.mehta</t>
  </si>
  <si>
    <t>neha.g12</t>
  </si>
  <si>
    <t>karan.m</t>
  </si>
  <si>
    <t>pooja.j</t>
  </si>
  <si>
    <t>vivek.v</t>
  </si>
  <si>
    <t>aditi.rao</t>
  </si>
  <si>
    <t>manoj.t</t>
  </si>
  <si>
    <t>deepa.nair</t>
  </si>
  <si>
    <t>sandeep.k</t>
  </si>
  <si>
    <t>meera.p</t>
  </si>
  <si>
    <t>sanjay.d</t>
  </si>
  <si>
    <t>harish.p</t>
  </si>
  <si>
    <t>divya.k</t>
  </si>
  <si>
    <t>rajesh.k</t>
  </si>
  <si>
    <t>kavita.k</t>
  </si>
  <si>
    <t>arun.j</t>
  </si>
  <si>
    <t>nisha.g</t>
  </si>
  <si>
    <t>tarun.k</t>
  </si>
  <si>
    <t>User name</t>
  </si>
  <si>
    <t>swati.m</t>
  </si>
  <si>
    <t>vijay.m</t>
  </si>
  <si>
    <t>ishan.k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</si>
</sst>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70CE-B99A-4B31-9D6A-F772EF3E7032}">
  <dimension ref="A1:J31"/>
  <sheetViews>
    <sheetView zoomScale="111" workbookViewId="0">
      <selection activeCell="C6" sqref="C6"/>
    </sheetView>
  </sheetViews>
  <sheetFormatPr defaultRowHeight="14.4" x14ac:dyDescent="0.3"/>
  <cols>
    <col min="1" max="1" width="8.6640625" bestFit="1" customWidth="1"/>
    <col min="2" max="2" width="14.21875" bestFit="1" customWidth="1"/>
    <col min="3" max="3" width="45.77734375" bestFit="1" customWidth="1"/>
    <col min="4" max="4" width="23" bestFit="1" customWidth="1"/>
    <col min="5" max="5" width="13.109375" bestFit="1" customWidth="1"/>
    <col min="6" max="6" width="7.88671875" bestFit="1" customWidth="1"/>
    <col min="7" max="7" width="9.21875" bestFit="1" customWidth="1"/>
    <col min="8" max="8" width="12.21875" bestFit="1" customWidth="1"/>
    <col min="9" max="9" width="13.33203125" bestFit="1" customWidth="1"/>
    <col min="10" max="10" width="10.5546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9876543210</v>
      </c>
      <c r="F2" s="1">
        <v>14</v>
      </c>
      <c r="G2" s="1">
        <v>420</v>
      </c>
      <c r="H2" s="1">
        <v>14</v>
      </c>
      <c r="I2" s="1">
        <f>G2/H2</f>
        <v>30</v>
      </c>
      <c r="J2" s="1" t="s">
        <v>14</v>
      </c>
    </row>
    <row r="3" spans="1:10" x14ac:dyDescent="0.3">
      <c r="A3" s="1" t="s">
        <v>15</v>
      </c>
      <c r="B3" s="1" t="s">
        <v>16</v>
      </c>
      <c r="C3" s="1" t="s">
        <v>17</v>
      </c>
      <c r="D3" s="1" t="s">
        <v>18</v>
      </c>
      <c r="E3" s="1">
        <v>9812345678</v>
      </c>
      <c r="F3" s="1">
        <v>16</v>
      </c>
      <c r="G3" s="1">
        <v>510</v>
      </c>
      <c r="H3" s="1">
        <v>15</v>
      </c>
      <c r="I3" s="1">
        <f>G3/H3</f>
        <v>34</v>
      </c>
      <c r="J3" s="1" t="s">
        <v>14</v>
      </c>
    </row>
    <row r="4" spans="1:10" x14ac:dyDescent="0.3">
      <c r="A4" s="1" t="s">
        <v>19</v>
      </c>
      <c r="B4" s="1" t="s">
        <v>20</v>
      </c>
      <c r="C4" s="1" t="s">
        <v>21</v>
      </c>
      <c r="D4" s="1" t="s">
        <v>22</v>
      </c>
      <c r="E4" s="1">
        <v>9923456789</v>
      </c>
      <c r="F4" s="1">
        <v>14</v>
      </c>
      <c r="G4" s="1">
        <v>210</v>
      </c>
      <c r="H4" s="1">
        <v>12</v>
      </c>
      <c r="I4" s="1">
        <f>G4/H4</f>
        <v>17.5</v>
      </c>
      <c r="J4" s="1" t="s">
        <v>14</v>
      </c>
    </row>
    <row r="5" spans="1:10" x14ac:dyDescent="0.3">
      <c r="A5" s="1" t="s">
        <v>23</v>
      </c>
      <c r="B5" s="1" t="s">
        <v>24</v>
      </c>
      <c r="C5" s="1" t="s">
        <v>25</v>
      </c>
      <c r="D5" s="1" t="s">
        <v>26</v>
      </c>
      <c r="E5" s="1">
        <v>9845678901</v>
      </c>
      <c r="F5" s="1">
        <v>15</v>
      </c>
      <c r="G5" s="1">
        <v>0</v>
      </c>
      <c r="H5" s="1">
        <v>0</v>
      </c>
      <c r="I5" s="1" t="e">
        <f>G5/H5</f>
        <v>#DIV/0!</v>
      </c>
      <c r="J5" s="1" t="s">
        <v>27</v>
      </c>
    </row>
    <row r="6" spans="1:10" x14ac:dyDescent="0.3">
      <c r="A6" s="1" t="s">
        <v>28</v>
      </c>
      <c r="B6" s="1" t="s">
        <v>29</v>
      </c>
      <c r="C6" s="1" t="s">
        <v>30</v>
      </c>
      <c r="D6" s="1" t="s">
        <v>31</v>
      </c>
      <c r="E6" s="1">
        <v>9612345678</v>
      </c>
      <c r="F6" s="1">
        <v>12</v>
      </c>
      <c r="G6" s="1">
        <v>340</v>
      </c>
      <c r="H6" s="1">
        <v>11</v>
      </c>
      <c r="I6" s="1">
        <f>G6/H6</f>
        <v>30.90909090909091</v>
      </c>
      <c r="J6" s="1" t="s">
        <v>14</v>
      </c>
    </row>
    <row r="7" spans="1:10" x14ac:dyDescent="0.3">
      <c r="A7" s="1" t="s">
        <v>32</v>
      </c>
      <c r="B7" s="1" t="s">
        <v>33</v>
      </c>
      <c r="C7" s="1" t="s">
        <v>34</v>
      </c>
      <c r="D7" s="1" t="s">
        <v>35</v>
      </c>
      <c r="E7" s="1">
        <v>9898989898</v>
      </c>
      <c r="F7" s="1">
        <v>14</v>
      </c>
      <c r="G7" s="1">
        <v>180</v>
      </c>
      <c r="H7" s="1" t="s">
        <v>36</v>
      </c>
      <c r="I7" s="1" t="e">
        <f>G7/H7</f>
        <v>#VALUE!</v>
      </c>
      <c r="J7" s="1" t="s">
        <v>14</v>
      </c>
    </row>
    <row r="8" spans="1:10" x14ac:dyDescent="0.3">
      <c r="A8" s="1" t="s">
        <v>37</v>
      </c>
      <c r="B8" s="1" t="s">
        <v>38</v>
      </c>
      <c r="C8" s="1" t="s">
        <v>39</v>
      </c>
      <c r="D8" s="1" t="s">
        <v>40</v>
      </c>
      <c r="E8" s="1">
        <v>9822334455</v>
      </c>
      <c r="F8" s="1">
        <v>16</v>
      </c>
      <c r="G8" s="1">
        <v>620</v>
      </c>
      <c r="H8" s="1">
        <v>16</v>
      </c>
      <c r="I8" s="1">
        <f>G8/H8</f>
        <v>38.75</v>
      </c>
      <c r="J8" s="1" t="s">
        <v>14</v>
      </c>
    </row>
    <row r="9" spans="1:10" x14ac:dyDescent="0.3">
      <c r="A9" s="1" t="s">
        <v>41</v>
      </c>
      <c r="B9" s="1" t="s">
        <v>42</v>
      </c>
      <c r="C9" s="1" t="s">
        <v>43</v>
      </c>
      <c r="D9" s="1" t="s">
        <v>44</v>
      </c>
      <c r="E9" s="1">
        <v>9733445566</v>
      </c>
      <c r="F9" s="1">
        <v>11</v>
      </c>
      <c r="G9" s="1">
        <v>150</v>
      </c>
      <c r="H9" s="1">
        <v>9</v>
      </c>
      <c r="I9" s="1">
        <f>G9/H9</f>
        <v>16.666666666666668</v>
      </c>
      <c r="J9" s="1" t="s">
        <v>14</v>
      </c>
    </row>
    <row r="10" spans="1:10" x14ac:dyDescent="0.3">
      <c r="A10" s="1" t="s">
        <v>10</v>
      </c>
      <c r="B10" s="1" t="s">
        <v>11</v>
      </c>
      <c r="C10" s="1" t="s">
        <v>12</v>
      </c>
      <c r="D10" s="1" t="s">
        <v>13</v>
      </c>
      <c r="E10" s="1">
        <v>9876543210</v>
      </c>
      <c r="F10" s="1">
        <v>14</v>
      </c>
      <c r="G10" s="1">
        <v>420</v>
      </c>
      <c r="H10" s="1">
        <v>14</v>
      </c>
      <c r="I10" s="1">
        <f>G10/H10</f>
        <v>30</v>
      </c>
      <c r="J10" s="1" t="s">
        <v>45</v>
      </c>
    </row>
    <row r="11" spans="1:10" x14ac:dyDescent="0.3">
      <c r="A11" s="1" t="s">
        <v>46</v>
      </c>
      <c r="B11" s="1" t="s">
        <v>47</v>
      </c>
      <c r="C11" s="1" t="s">
        <v>48</v>
      </c>
      <c r="D11" s="1" t="s">
        <v>49</v>
      </c>
      <c r="E11" s="1">
        <v>9855667788</v>
      </c>
      <c r="F11" s="1">
        <v>15</v>
      </c>
      <c r="G11" s="1">
        <v>490</v>
      </c>
      <c r="H11" s="1">
        <v>14</v>
      </c>
      <c r="I11" s="1">
        <f>G11/H11</f>
        <v>35</v>
      </c>
      <c r="J11" s="1" t="s">
        <v>14</v>
      </c>
    </row>
    <row r="12" spans="1:10" x14ac:dyDescent="0.3">
      <c r="A12" s="1" t="s">
        <v>50</v>
      </c>
      <c r="B12" s="1" t="s">
        <v>51</v>
      </c>
      <c r="C12" s="1" t="s">
        <v>52</v>
      </c>
      <c r="D12" s="1" t="s">
        <v>53</v>
      </c>
      <c r="E12" s="1">
        <v>9166778899</v>
      </c>
      <c r="F12" s="1">
        <v>13</v>
      </c>
      <c r="G12" s="1">
        <v>280</v>
      </c>
      <c r="H12" s="1">
        <v>13</v>
      </c>
      <c r="I12" s="1">
        <f>G12/H12</f>
        <v>21.53846153846154</v>
      </c>
      <c r="J12" s="1" t="s">
        <v>14</v>
      </c>
    </row>
    <row r="13" spans="1:10" x14ac:dyDescent="0.3">
      <c r="A13" s="1" t="s">
        <v>54</v>
      </c>
      <c r="B13" s="1" t="s">
        <v>55</v>
      </c>
      <c r="C13" s="1" t="s">
        <v>56</v>
      </c>
      <c r="D13" s="1" t="s">
        <v>57</v>
      </c>
      <c r="E13" s="1">
        <v>9877889900</v>
      </c>
      <c r="F13" s="1">
        <v>14</v>
      </c>
      <c r="G13" s="1">
        <v>310</v>
      </c>
      <c r="H13" s="1">
        <v>14</v>
      </c>
      <c r="I13" s="1">
        <f>G13/H13</f>
        <v>22.142857142857142</v>
      </c>
      <c r="J13" s="1" t="s">
        <v>14</v>
      </c>
    </row>
    <row r="14" spans="1:10" x14ac:dyDescent="0.3">
      <c r="A14" s="1" t="s">
        <v>58</v>
      </c>
      <c r="B14" s="1" t="s">
        <v>59</v>
      </c>
      <c r="C14" s="1" t="s">
        <v>60</v>
      </c>
      <c r="D14" s="1" t="s">
        <v>61</v>
      </c>
      <c r="E14" s="1">
        <v>9844556677</v>
      </c>
      <c r="F14" s="1">
        <v>12</v>
      </c>
      <c r="G14" s="1">
        <v>190</v>
      </c>
      <c r="H14" s="1">
        <v>10</v>
      </c>
      <c r="I14" s="1">
        <f>G14/H14</f>
        <v>19</v>
      </c>
      <c r="J14" s="1" t="s">
        <v>14</v>
      </c>
    </row>
    <row r="15" spans="1:10" x14ac:dyDescent="0.3">
      <c r="A15" s="1" t="s">
        <v>62</v>
      </c>
      <c r="B15" s="1" t="s">
        <v>63</v>
      </c>
      <c r="C15" s="1" t="s">
        <v>64</v>
      </c>
      <c r="D15" s="1" t="s">
        <v>65</v>
      </c>
      <c r="E15" s="1">
        <v>9955443322</v>
      </c>
      <c r="F15" s="1">
        <v>16</v>
      </c>
      <c r="G15" s="1">
        <v>580</v>
      </c>
      <c r="H15" s="1">
        <v>15</v>
      </c>
      <c r="I15" s="1">
        <f>G15/H15</f>
        <v>38.666666666666664</v>
      </c>
      <c r="J15" s="1" t="s">
        <v>14</v>
      </c>
    </row>
    <row r="16" spans="1:10" x14ac:dyDescent="0.3">
      <c r="A16" s="1" t="s">
        <v>66</v>
      </c>
      <c r="B16" s="1" t="s">
        <v>67</v>
      </c>
      <c r="C16" s="1" t="s">
        <v>68</v>
      </c>
      <c r="D16" s="1" t="s">
        <v>69</v>
      </c>
      <c r="E16" s="1">
        <v>9811223344</v>
      </c>
      <c r="F16" s="1">
        <v>15</v>
      </c>
      <c r="G16" s="1">
        <v>230</v>
      </c>
      <c r="H16" s="1">
        <v>12</v>
      </c>
      <c r="I16" s="1">
        <f>G16/H16</f>
        <v>19.166666666666668</v>
      </c>
      <c r="J16" s="1" t="s">
        <v>14</v>
      </c>
    </row>
    <row r="17" spans="1:10" x14ac:dyDescent="0.3">
      <c r="A17" s="1" t="s">
        <v>70</v>
      </c>
      <c r="B17" s="1" t="s">
        <v>71</v>
      </c>
      <c r="C17" s="1" t="s">
        <v>72</v>
      </c>
      <c r="D17" s="1" t="s">
        <v>73</v>
      </c>
      <c r="E17" s="1">
        <v>9866778811</v>
      </c>
      <c r="F17" s="1">
        <v>14</v>
      </c>
      <c r="G17" s="1">
        <v>400</v>
      </c>
      <c r="H17" s="1">
        <v>14</v>
      </c>
      <c r="I17" s="1">
        <f>G17/H17</f>
        <v>28.571428571428573</v>
      </c>
      <c r="J17" s="1" t="s">
        <v>14</v>
      </c>
    </row>
    <row r="18" spans="1:10" x14ac:dyDescent="0.3">
      <c r="A18" s="1" t="s">
        <v>37</v>
      </c>
      <c r="B18" s="1" t="s">
        <v>38</v>
      </c>
      <c r="C18" s="1" t="s">
        <v>39</v>
      </c>
      <c r="D18" s="1" t="s">
        <v>40</v>
      </c>
      <c r="E18" s="1">
        <v>9822334455</v>
      </c>
      <c r="F18" s="1">
        <v>16</v>
      </c>
      <c r="G18" s="1">
        <v>620</v>
      </c>
      <c r="H18" s="1">
        <v>16</v>
      </c>
      <c r="I18" s="1">
        <f>G18/H18</f>
        <v>38.75</v>
      </c>
      <c r="J18" s="1" t="s">
        <v>45</v>
      </c>
    </row>
    <row r="19" spans="1:10" x14ac:dyDescent="0.3">
      <c r="A19" s="1" t="s">
        <v>74</v>
      </c>
      <c r="B19" s="1" t="s">
        <v>75</v>
      </c>
      <c r="C19" s="1" t="s">
        <v>76</v>
      </c>
      <c r="D19" s="1" t="s">
        <v>77</v>
      </c>
      <c r="E19" s="1">
        <v>9888990011</v>
      </c>
      <c r="F19" s="1">
        <v>13</v>
      </c>
      <c r="G19" s="1">
        <v>120</v>
      </c>
      <c r="H19" s="1">
        <v>8</v>
      </c>
      <c r="I19" s="1">
        <f>G19/H19</f>
        <v>15</v>
      </c>
      <c r="J19" s="1" t="s">
        <v>14</v>
      </c>
    </row>
    <row r="20" spans="1:10" x14ac:dyDescent="0.3">
      <c r="A20" s="1" t="s">
        <v>78</v>
      </c>
      <c r="B20" s="1" t="s">
        <v>79</v>
      </c>
      <c r="C20" s="1" t="s">
        <v>80</v>
      </c>
      <c r="D20" s="1" t="s">
        <v>81</v>
      </c>
      <c r="E20" s="1">
        <v>9577889922</v>
      </c>
      <c r="F20" s="1">
        <v>11</v>
      </c>
      <c r="G20" s="1">
        <v>90</v>
      </c>
      <c r="H20" s="1">
        <v>7</v>
      </c>
      <c r="I20" s="1">
        <f>G20/H20</f>
        <v>12.857142857142858</v>
      </c>
      <c r="J20" s="1" t="s">
        <v>14</v>
      </c>
    </row>
    <row r="21" spans="1:10" x14ac:dyDescent="0.3">
      <c r="A21" s="1" t="s">
        <v>82</v>
      </c>
      <c r="B21" s="1" t="s">
        <v>83</v>
      </c>
      <c r="C21" s="1" t="s">
        <v>84</v>
      </c>
      <c r="D21" s="1" t="s">
        <v>85</v>
      </c>
      <c r="E21" s="1">
        <v>9825012345</v>
      </c>
      <c r="F21" s="1">
        <v>15</v>
      </c>
      <c r="G21" s="1">
        <v>350</v>
      </c>
      <c r="H21" s="1">
        <v>15</v>
      </c>
      <c r="I21" s="1">
        <f>G21/H21</f>
        <v>23.333333333333332</v>
      </c>
      <c r="J21" s="1" t="s">
        <v>14</v>
      </c>
    </row>
    <row r="22" spans="1:10" x14ac:dyDescent="0.3">
      <c r="A22" s="1" t="s">
        <v>86</v>
      </c>
      <c r="B22" s="1" t="s">
        <v>87</v>
      </c>
      <c r="C22" s="1" t="s">
        <v>88</v>
      </c>
      <c r="D22" s="1" t="s">
        <v>89</v>
      </c>
      <c r="E22" s="1">
        <v>9833445566</v>
      </c>
      <c r="F22" s="1">
        <v>16</v>
      </c>
      <c r="G22" s="1">
        <v>430</v>
      </c>
      <c r="H22" s="1">
        <v>16</v>
      </c>
      <c r="I22" s="1">
        <f>G22/H22</f>
        <v>26.875</v>
      </c>
      <c r="J22" s="1" t="s">
        <v>14</v>
      </c>
    </row>
    <row r="23" spans="1:10" x14ac:dyDescent="0.3">
      <c r="A23" s="1" t="s">
        <v>90</v>
      </c>
      <c r="B23" s="1" t="s">
        <v>91</v>
      </c>
      <c r="C23" s="1" t="s">
        <v>92</v>
      </c>
      <c r="D23" s="1" t="s">
        <v>93</v>
      </c>
      <c r="E23" s="1">
        <v>9814012345</v>
      </c>
      <c r="F23" s="1">
        <v>14</v>
      </c>
      <c r="G23" s="1">
        <v>260</v>
      </c>
      <c r="H23" s="1">
        <v>13</v>
      </c>
      <c r="I23" s="1">
        <f>G23/H23</f>
        <v>20</v>
      </c>
      <c r="J23" s="1" t="s">
        <v>14</v>
      </c>
    </row>
    <row r="24" spans="1:10" x14ac:dyDescent="0.3">
      <c r="A24" s="1" t="s">
        <v>94</v>
      </c>
      <c r="B24" s="1" t="s">
        <v>95</v>
      </c>
      <c r="C24" s="1" t="s">
        <v>96</v>
      </c>
      <c r="D24" s="1" t="s">
        <v>97</v>
      </c>
      <c r="E24" s="1">
        <v>9744556611</v>
      </c>
      <c r="F24" s="1">
        <v>12</v>
      </c>
      <c r="G24" s="1">
        <v>180</v>
      </c>
      <c r="H24" s="1">
        <v>11</v>
      </c>
      <c r="I24" s="1">
        <f>G24/H24</f>
        <v>16.363636363636363</v>
      </c>
      <c r="J24" s="1" t="s">
        <v>14</v>
      </c>
    </row>
    <row r="25" spans="1:10" x14ac:dyDescent="0.3">
      <c r="A25" s="1" t="s">
        <v>98</v>
      </c>
      <c r="B25" s="1" t="s">
        <v>99</v>
      </c>
      <c r="C25" s="1" t="s">
        <v>100</v>
      </c>
      <c r="D25" s="1" t="s">
        <v>101</v>
      </c>
      <c r="E25" s="1">
        <v>9866112233</v>
      </c>
      <c r="F25" s="1">
        <v>15</v>
      </c>
      <c r="G25" s="1">
        <v>500</v>
      </c>
      <c r="H25" s="1">
        <v>15</v>
      </c>
      <c r="I25" s="1">
        <f>G25/H25</f>
        <v>33.333333333333336</v>
      </c>
      <c r="J25" s="1" t="s">
        <v>14</v>
      </c>
    </row>
    <row r="26" spans="1:10" x14ac:dyDescent="0.3">
      <c r="A26" s="1" t="s">
        <v>54</v>
      </c>
      <c r="B26" s="1" t="s">
        <v>55</v>
      </c>
      <c r="C26" s="1" t="s">
        <v>56</v>
      </c>
      <c r="D26" s="1" t="s">
        <v>57</v>
      </c>
      <c r="E26" s="1">
        <v>9877889900</v>
      </c>
      <c r="F26" s="1">
        <v>14</v>
      </c>
      <c r="G26" s="1">
        <v>310</v>
      </c>
      <c r="H26" s="1">
        <v>14</v>
      </c>
      <c r="I26" s="1">
        <f>G26/H26</f>
        <v>22.142857142857142</v>
      </c>
      <c r="J26" s="1" t="s">
        <v>45</v>
      </c>
    </row>
    <row r="27" spans="1:10" x14ac:dyDescent="0.3">
      <c r="A27" s="1" t="s">
        <v>102</v>
      </c>
      <c r="B27" s="1" t="s">
        <v>103</v>
      </c>
      <c r="C27" s="1" t="s">
        <v>104</v>
      </c>
      <c r="D27" s="1" t="s">
        <v>105</v>
      </c>
      <c r="E27" s="1">
        <v>9815098765</v>
      </c>
      <c r="F27" s="1">
        <v>14</v>
      </c>
      <c r="G27" s="1">
        <v>310</v>
      </c>
      <c r="H27" s="1">
        <v>12</v>
      </c>
      <c r="I27" s="1">
        <f>G27/H27</f>
        <v>25.833333333333332</v>
      </c>
      <c r="J27" s="1" t="s">
        <v>14</v>
      </c>
    </row>
    <row r="28" spans="1:10" x14ac:dyDescent="0.3">
      <c r="A28" s="1" t="s">
        <v>106</v>
      </c>
      <c r="B28" s="1" t="s">
        <v>107</v>
      </c>
      <c r="C28" s="1" t="s">
        <v>108</v>
      </c>
      <c r="D28" s="1" t="s">
        <v>109</v>
      </c>
      <c r="E28" s="1">
        <v>9911223344</v>
      </c>
      <c r="F28" s="1">
        <v>13</v>
      </c>
      <c r="G28" s="1">
        <v>140</v>
      </c>
      <c r="H28" s="1">
        <v>10</v>
      </c>
      <c r="I28" s="1">
        <f>G28/H28</f>
        <v>14</v>
      </c>
      <c r="J28" s="1" t="s">
        <v>14</v>
      </c>
    </row>
    <row r="29" spans="1:10" x14ac:dyDescent="0.3">
      <c r="A29" s="1" t="s">
        <v>110</v>
      </c>
      <c r="B29" s="1" t="s">
        <v>111</v>
      </c>
      <c r="C29" s="1" t="s">
        <v>112</v>
      </c>
      <c r="D29" s="1" t="s">
        <v>113</v>
      </c>
      <c r="E29" s="1">
        <v>9849012345</v>
      </c>
      <c r="F29" s="1">
        <v>16</v>
      </c>
      <c r="G29" s="1">
        <v>670</v>
      </c>
      <c r="H29" s="1">
        <v>16</v>
      </c>
      <c r="I29" s="1">
        <f>G29/H29</f>
        <v>41.875</v>
      </c>
      <c r="J29" s="1" t="s">
        <v>14</v>
      </c>
    </row>
    <row r="30" spans="1:10" x14ac:dyDescent="0.3">
      <c r="A30" s="1" t="s">
        <v>114</v>
      </c>
      <c r="B30" s="1" t="s">
        <v>115</v>
      </c>
      <c r="C30" s="1" t="s">
        <v>116</v>
      </c>
      <c r="D30" s="1" t="s">
        <v>117</v>
      </c>
      <c r="E30" s="1">
        <v>9880012345</v>
      </c>
      <c r="F30" s="1">
        <v>10</v>
      </c>
      <c r="G30" s="1">
        <v>80</v>
      </c>
      <c r="H30" s="1">
        <v>5</v>
      </c>
      <c r="I30" s="1">
        <f>G30/H30</f>
        <v>16</v>
      </c>
      <c r="J30" s="1" t="s">
        <v>14</v>
      </c>
    </row>
    <row r="31" spans="1:10" x14ac:dyDescent="0.3">
      <c r="A31" s="1" t="s">
        <v>118</v>
      </c>
      <c r="B31" s="1" t="s">
        <v>119</v>
      </c>
      <c r="C31" s="1" t="s">
        <v>120</v>
      </c>
      <c r="D31" s="1" t="s">
        <v>121</v>
      </c>
      <c r="E31" s="1">
        <v>9879012345</v>
      </c>
      <c r="F31" s="1">
        <v>15</v>
      </c>
      <c r="G31" s="1">
        <v>410</v>
      </c>
      <c r="H31" s="1">
        <v>14</v>
      </c>
      <c r="I31" s="1">
        <f>G31/H31</f>
        <v>29.285714285714285</v>
      </c>
      <c r="J3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FE03-3353-43CB-A67C-1664C19801B1}">
  <dimension ref="A1:M31"/>
  <sheetViews>
    <sheetView topLeftCell="E1" workbookViewId="0">
      <selection activeCell="D15" sqref="D15"/>
    </sheetView>
  </sheetViews>
  <sheetFormatPr defaultRowHeight="14.4" x14ac:dyDescent="0.3"/>
  <cols>
    <col min="1" max="1" width="8.6640625" bestFit="1" customWidth="1"/>
    <col min="2" max="2" width="14.5546875" bestFit="1" customWidth="1"/>
    <col min="3" max="3" width="45.77734375" bestFit="1" customWidth="1"/>
    <col min="4" max="6" width="45.77734375" customWidth="1"/>
    <col min="7" max="7" width="23" bestFit="1" customWidth="1"/>
    <col min="8" max="8" width="13.33203125" bestFit="1" customWidth="1"/>
    <col min="9" max="9" width="8" bestFit="1" customWidth="1"/>
    <col min="10" max="10" width="9.44140625" bestFit="1" customWidth="1"/>
    <col min="11" max="11" width="12.77734375" bestFit="1" customWidth="1"/>
    <col min="12" max="12" width="13.5546875" bestFit="1" customWidth="1"/>
    <col min="13" max="13" width="11" bestFit="1" customWidth="1"/>
  </cols>
  <sheetData>
    <row r="1" spans="1:13" x14ac:dyDescent="0.3">
      <c r="A1" s="2" t="s">
        <v>0</v>
      </c>
      <c r="B1" s="2" t="s">
        <v>1</v>
      </c>
      <c r="C1" s="2" t="s">
        <v>216</v>
      </c>
      <c r="D1" s="2" t="s">
        <v>217</v>
      </c>
      <c r="E1" s="2" t="s">
        <v>218</v>
      </c>
      <c r="F1" s="2" t="s">
        <v>219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3">
      <c r="A2" s="1" t="s">
        <v>10</v>
      </c>
      <c r="B2" s="1" t="s">
        <v>11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13</v>
      </c>
      <c r="H2" s="1">
        <v>9876543210</v>
      </c>
      <c r="I2" s="1">
        <v>14</v>
      </c>
      <c r="J2" s="1">
        <v>420</v>
      </c>
      <c r="K2" s="1">
        <v>14</v>
      </c>
      <c r="L2" s="1">
        <f>J2/K2</f>
        <v>30</v>
      </c>
      <c r="M2" s="1" t="s">
        <v>14</v>
      </c>
    </row>
    <row r="3" spans="1:13" x14ac:dyDescent="0.3">
      <c r="A3" s="1" t="s">
        <v>15</v>
      </c>
      <c r="B3" s="1" t="s">
        <v>16</v>
      </c>
      <c r="C3" s="1" t="s">
        <v>126</v>
      </c>
      <c r="D3" s="1" t="s">
        <v>127</v>
      </c>
      <c r="E3" s="1" t="s">
        <v>128</v>
      </c>
      <c r="F3" s="1" t="s">
        <v>129</v>
      </c>
      <c r="G3" s="1" t="s">
        <v>18</v>
      </c>
      <c r="H3" s="1">
        <v>9812345678</v>
      </c>
      <c r="I3" s="1">
        <v>16</v>
      </c>
      <c r="J3" s="1">
        <v>510</v>
      </c>
      <c r="K3" s="1">
        <v>15</v>
      </c>
      <c r="L3" s="1">
        <f>J3/K3</f>
        <v>34</v>
      </c>
      <c r="M3" s="1" t="s">
        <v>14</v>
      </c>
    </row>
    <row r="4" spans="1:13" x14ac:dyDescent="0.3">
      <c r="A4" s="1" t="s">
        <v>19</v>
      </c>
      <c r="B4" s="1" t="s">
        <v>20</v>
      </c>
      <c r="C4" s="1" t="s">
        <v>130</v>
      </c>
      <c r="D4" s="1" t="s">
        <v>131</v>
      </c>
      <c r="E4" s="1" t="s">
        <v>132</v>
      </c>
      <c r="F4" s="1" t="s">
        <v>125</v>
      </c>
      <c r="G4" s="1" t="s">
        <v>22</v>
      </c>
      <c r="H4" s="1">
        <v>9923456789</v>
      </c>
      <c r="I4" s="1">
        <v>14</v>
      </c>
      <c r="J4" s="1">
        <v>210</v>
      </c>
      <c r="K4" s="1">
        <v>12</v>
      </c>
      <c r="L4" s="1">
        <f>J4/K4</f>
        <v>17.5</v>
      </c>
      <c r="M4" s="1" t="s">
        <v>14</v>
      </c>
    </row>
    <row r="5" spans="1:13" x14ac:dyDescent="0.3">
      <c r="A5" s="1" t="s">
        <v>23</v>
      </c>
      <c r="B5" s="1" t="s">
        <v>24</v>
      </c>
      <c r="C5" s="1" t="s">
        <v>133</v>
      </c>
      <c r="D5" s="1" t="s">
        <v>134</v>
      </c>
      <c r="E5" s="1" t="s">
        <v>135</v>
      </c>
      <c r="F5" s="1" t="s">
        <v>136</v>
      </c>
      <c r="G5" s="1" t="s">
        <v>26</v>
      </c>
      <c r="H5" s="1">
        <v>9845678901</v>
      </c>
      <c r="I5" s="1">
        <v>15</v>
      </c>
      <c r="J5" s="1">
        <v>0</v>
      </c>
      <c r="K5" s="1">
        <v>0</v>
      </c>
      <c r="L5" s="1" t="e">
        <f>J5/K5</f>
        <v>#DIV/0!</v>
      </c>
      <c r="M5" s="1" t="s">
        <v>27</v>
      </c>
    </row>
    <row r="6" spans="1:13" x14ac:dyDescent="0.3">
      <c r="A6" s="1" t="s">
        <v>28</v>
      </c>
      <c r="B6" s="1" t="s">
        <v>29</v>
      </c>
      <c r="C6" s="1" t="s">
        <v>137</v>
      </c>
      <c r="D6" s="1" t="s">
        <v>138</v>
      </c>
      <c r="E6" s="1" t="s">
        <v>139</v>
      </c>
      <c r="F6" s="1" t="s">
        <v>140</v>
      </c>
      <c r="G6" s="1" t="s">
        <v>31</v>
      </c>
      <c r="H6" s="1">
        <v>9612345678</v>
      </c>
      <c r="I6" s="1">
        <v>12</v>
      </c>
      <c r="J6" s="1">
        <v>340</v>
      </c>
      <c r="K6" s="1">
        <v>11</v>
      </c>
      <c r="L6" s="1">
        <f>J6/K6</f>
        <v>30.90909090909091</v>
      </c>
      <c r="M6" s="1" t="s">
        <v>14</v>
      </c>
    </row>
    <row r="7" spans="1:13" x14ac:dyDescent="0.3">
      <c r="A7" s="1" t="s">
        <v>32</v>
      </c>
      <c r="B7" s="1" t="s">
        <v>33</v>
      </c>
      <c r="C7" s="1" t="s">
        <v>141</v>
      </c>
      <c r="D7" s="1" t="s">
        <v>142</v>
      </c>
      <c r="E7" s="1" t="s">
        <v>143</v>
      </c>
      <c r="F7" s="1" t="s">
        <v>129</v>
      </c>
      <c r="G7" s="1" t="s">
        <v>35</v>
      </c>
      <c r="H7" s="1">
        <v>9898989898</v>
      </c>
      <c r="I7" s="1">
        <v>14</v>
      </c>
      <c r="J7" s="1">
        <v>180</v>
      </c>
      <c r="K7" s="1" t="s">
        <v>36</v>
      </c>
      <c r="L7" s="1" t="e">
        <f>J7/K7</f>
        <v>#VALUE!</v>
      </c>
      <c r="M7" s="1" t="s">
        <v>14</v>
      </c>
    </row>
    <row r="8" spans="1:13" x14ac:dyDescent="0.3">
      <c r="A8" s="1" t="s">
        <v>37</v>
      </c>
      <c r="B8" s="1" t="s">
        <v>38</v>
      </c>
      <c r="C8" s="1" t="s">
        <v>144</v>
      </c>
      <c r="D8" s="1" t="s">
        <v>145</v>
      </c>
      <c r="E8" s="1" t="s">
        <v>146</v>
      </c>
      <c r="F8" s="1" t="s">
        <v>147</v>
      </c>
      <c r="G8" s="1" t="s">
        <v>40</v>
      </c>
      <c r="H8" s="1">
        <v>9822334455</v>
      </c>
      <c r="I8" s="1">
        <v>16</v>
      </c>
      <c r="J8" s="1">
        <v>620</v>
      </c>
      <c r="K8" s="1">
        <v>16</v>
      </c>
      <c r="L8" s="1">
        <f>J8/K8</f>
        <v>38.75</v>
      </c>
      <c r="M8" s="1" t="s">
        <v>14</v>
      </c>
    </row>
    <row r="9" spans="1:13" x14ac:dyDescent="0.3">
      <c r="A9" s="1" t="s">
        <v>41</v>
      </c>
      <c r="B9" s="1" t="s">
        <v>42</v>
      </c>
      <c r="C9" s="1" t="s">
        <v>148</v>
      </c>
      <c r="D9" s="1" t="s">
        <v>149</v>
      </c>
      <c r="E9" s="1" t="s">
        <v>150</v>
      </c>
      <c r="F9" s="1" t="s">
        <v>151</v>
      </c>
      <c r="G9" s="1" t="s">
        <v>44</v>
      </c>
      <c r="H9" s="1">
        <v>9733445566</v>
      </c>
      <c r="I9" s="1">
        <v>11</v>
      </c>
      <c r="J9" s="1">
        <v>150</v>
      </c>
      <c r="K9" s="1">
        <v>9</v>
      </c>
      <c r="L9" s="1">
        <f>J9/K9</f>
        <v>16.666666666666668</v>
      </c>
      <c r="M9" s="1" t="s">
        <v>14</v>
      </c>
    </row>
    <row r="10" spans="1:13" x14ac:dyDescent="0.3">
      <c r="A10" s="1" t="s">
        <v>10</v>
      </c>
      <c r="B10" s="1" t="s">
        <v>11</v>
      </c>
      <c r="C10" s="1" t="s">
        <v>122</v>
      </c>
      <c r="D10" s="1" t="s">
        <v>123</v>
      </c>
      <c r="E10" s="1" t="s">
        <v>124</v>
      </c>
      <c r="F10" s="1" t="s">
        <v>125</v>
      </c>
      <c r="G10" s="1" t="s">
        <v>13</v>
      </c>
      <c r="H10" s="1">
        <v>9876543210</v>
      </c>
      <c r="I10" s="1">
        <v>14</v>
      </c>
      <c r="J10" s="1">
        <v>420</v>
      </c>
      <c r="K10" s="1">
        <v>14</v>
      </c>
      <c r="L10" s="1">
        <f>J10/K10</f>
        <v>30</v>
      </c>
      <c r="M10" s="1" t="s">
        <v>45</v>
      </c>
    </row>
    <row r="11" spans="1:13" x14ac:dyDescent="0.3">
      <c r="A11" s="1" t="s">
        <v>46</v>
      </c>
      <c r="B11" s="1" t="s">
        <v>47</v>
      </c>
      <c r="C11" s="1" t="s">
        <v>152</v>
      </c>
      <c r="D11" s="1" t="s">
        <v>153</v>
      </c>
      <c r="E11" s="1" t="s">
        <v>154</v>
      </c>
      <c r="F11" s="1" t="s">
        <v>147</v>
      </c>
      <c r="G11" s="1" t="s">
        <v>49</v>
      </c>
      <c r="H11" s="1">
        <v>9855667788</v>
      </c>
      <c r="I11" s="1">
        <v>15</v>
      </c>
      <c r="J11" s="1">
        <v>490</v>
      </c>
      <c r="K11" s="1">
        <v>14</v>
      </c>
      <c r="L11" s="1">
        <f>J11/K11</f>
        <v>35</v>
      </c>
      <c r="M11" s="1" t="s">
        <v>14</v>
      </c>
    </row>
    <row r="12" spans="1:13" x14ac:dyDescent="0.3">
      <c r="A12" s="1" t="s">
        <v>50</v>
      </c>
      <c r="B12" s="1" t="s">
        <v>51</v>
      </c>
      <c r="C12" s="1" t="s">
        <v>155</v>
      </c>
      <c r="D12" s="1" t="s">
        <v>156</v>
      </c>
      <c r="E12" s="1" t="s">
        <v>157</v>
      </c>
      <c r="F12" s="1" t="s">
        <v>158</v>
      </c>
      <c r="G12" s="1" t="s">
        <v>53</v>
      </c>
      <c r="H12" s="1">
        <v>9166778899</v>
      </c>
      <c r="I12" s="1">
        <v>13</v>
      </c>
      <c r="J12" s="1">
        <v>280</v>
      </c>
      <c r="K12" s="1">
        <v>13</v>
      </c>
      <c r="L12" s="1">
        <f>J12/K12</f>
        <v>21.53846153846154</v>
      </c>
      <c r="M12" s="1" t="s">
        <v>14</v>
      </c>
    </row>
    <row r="13" spans="1:13" x14ac:dyDescent="0.3">
      <c r="A13" s="1" t="s">
        <v>54</v>
      </c>
      <c r="B13" s="1" t="s">
        <v>55</v>
      </c>
      <c r="C13" s="1" t="s">
        <v>159</v>
      </c>
      <c r="D13" s="1" t="s">
        <v>160</v>
      </c>
      <c r="E13" s="1" t="s">
        <v>161</v>
      </c>
      <c r="F13" s="1" t="s">
        <v>162</v>
      </c>
      <c r="G13" s="1" t="s">
        <v>57</v>
      </c>
      <c r="H13" s="1">
        <v>9877889900</v>
      </c>
      <c r="I13" s="1">
        <v>14</v>
      </c>
      <c r="J13" s="1">
        <v>310</v>
      </c>
      <c r="K13" s="1">
        <v>14</v>
      </c>
      <c r="L13" s="1">
        <f>J13/K13</f>
        <v>22.142857142857142</v>
      </c>
      <c r="M13" s="1" t="s">
        <v>14</v>
      </c>
    </row>
    <row r="14" spans="1:13" x14ac:dyDescent="0.3">
      <c r="A14" s="1" t="s">
        <v>58</v>
      </c>
      <c r="B14" s="1" t="s">
        <v>59</v>
      </c>
      <c r="C14" s="1" t="s">
        <v>163</v>
      </c>
      <c r="D14" s="1" t="s">
        <v>164</v>
      </c>
      <c r="E14" s="1" t="s">
        <v>165</v>
      </c>
      <c r="F14" s="1" t="s">
        <v>166</v>
      </c>
      <c r="G14" s="1" t="s">
        <v>61</v>
      </c>
      <c r="H14" s="1">
        <v>9844556677</v>
      </c>
      <c r="I14" s="1">
        <v>12</v>
      </c>
      <c r="J14" s="1">
        <v>190</v>
      </c>
      <c r="K14" s="1">
        <v>10</v>
      </c>
      <c r="L14" s="1">
        <f>J14/K14</f>
        <v>19</v>
      </c>
      <c r="M14" s="1" t="s">
        <v>14</v>
      </c>
    </row>
    <row r="15" spans="1:13" x14ac:dyDescent="0.3">
      <c r="A15" s="1" t="s">
        <v>62</v>
      </c>
      <c r="B15" s="1" t="s">
        <v>63</v>
      </c>
      <c r="C15" s="1" t="s">
        <v>167</v>
      </c>
      <c r="D15" s="1" t="s">
        <v>168</v>
      </c>
      <c r="E15" s="1" t="s">
        <v>169</v>
      </c>
      <c r="F15" s="1" t="s">
        <v>170</v>
      </c>
      <c r="G15" s="1" t="s">
        <v>65</v>
      </c>
      <c r="H15" s="1">
        <v>9955443322</v>
      </c>
      <c r="I15" s="1">
        <v>16</v>
      </c>
      <c r="J15" s="1">
        <v>580</v>
      </c>
      <c r="K15" s="1">
        <v>15</v>
      </c>
      <c r="L15" s="1">
        <f>J15/K15</f>
        <v>38.666666666666664</v>
      </c>
      <c r="M15" s="1" t="s">
        <v>14</v>
      </c>
    </row>
    <row r="16" spans="1:13" x14ac:dyDescent="0.3">
      <c r="A16" s="1" t="s">
        <v>66</v>
      </c>
      <c r="B16" s="1" t="s">
        <v>67</v>
      </c>
      <c r="C16" s="1" t="s">
        <v>171</v>
      </c>
      <c r="D16" s="1" t="s">
        <v>172</v>
      </c>
      <c r="E16" s="1" t="s">
        <v>150</v>
      </c>
      <c r="F16" s="1" t="s">
        <v>173</v>
      </c>
      <c r="G16" s="1" t="s">
        <v>69</v>
      </c>
      <c r="H16" s="1">
        <v>9811223344</v>
      </c>
      <c r="I16" s="1">
        <v>15</v>
      </c>
      <c r="J16" s="1">
        <v>230</v>
      </c>
      <c r="K16" s="1">
        <v>12</v>
      </c>
      <c r="L16" s="1">
        <f>J16/K16</f>
        <v>19.166666666666668</v>
      </c>
      <c r="M16" s="1" t="s">
        <v>14</v>
      </c>
    </row>
    <row r="17" spans="1:13" x14ac:dyDescent="0.3">
      <c r="A17" s="1" t="s">
        <v>70</v>
      </c>
      <c r="B17" s="1" t="s">
        <v>71</v>
      </c>
      <c r="C17" s="1" t="s">
        <v>174</v>
      </c>
      <c r="D17" s="1" t="s">
        <v>175</v>
      </c>
      <c r="E17" s="1" t="s">
        <v>176</v>
      </c>
      <c r="F17" s="1" t="s">
        <v>177</v>
      </c>
      <c r="G17" s="1" t="s">
        <v>73</v>
      </c>
      <c r="H17" s="1">
        <v>9866778811</v>
      </c>
      <c r="I17" s="1">
        <v>14</v>
      </c>
      <c r="J17" s="1">
        <v>400</v>
      </c>
      <c r="K17" s="1">
        <v>14</v>
      </c>
      <c r="L17" s="1">
        <f>J17/K17</f>
        <v>28.571428571428573</v>
      </c>
      <c r="M17" s="1" t="s">
        <v>14</v>
      </c>
    </row>
    <row r="18" spans="1:13" x14ac:dyDescent="0.3">
      <c r="A18" s="1" t="s">
        <v>37</v>
      </c>
      <c r="B18" s="1" t="s">
        <v>38</v>
      </c>
      <c r="C18" s="1" t="s">
        <v>144</v>
      </c>
      <c r="D18" s="1" t="s">
        <v>145</v>
      </c>
      <c r="E18" s="1" t="s">
        <v>146</v>
      </c>
      <c r="F18" s="1" t="s">
        <v>147</v>
      </c>
      <c r="G18" s="1" t="s">
        <v>40</v>
      </c>
      <c r="H18" s="1">
        <v>9822334455</v>
      </c>
      <c r="I18" s="1">
        <v>16</v>
      </c>
      <c r="J18" s="1">
        <v>620</v>
      </c>
      <c r="K18" s="1">
        <v>16</v>
      </c>
      <c r="L18" s="1">
        <f>J18/K18</f>
        <v>38.75</v>
      </c>
      <c r="M18" s="1" t="s">
        <v>45</v>
      </c>
    </row>
    <row r="19" spans="1:13" x14ac:dyDescent="0.3">
      <c r="A19" s="1" t="s">
        <v>74</v>
      </c>
      <c r="B19" s="1" t="s">
        <v>75</v>
      </c>
      <c r="C19" s="1" t="s">
        <v>178</v>
      </c>
      <c r="D19" s="1" t="s">
        <v>179</v>
      </c>
      <c r="E19" s="1" t="s">
        <v>180</v>
      </c>
      <c r="F19" s="1" t="s">
        <v>181</v>
      </c>
      <c r="G19" s="1" t="s">
        <v>77</v>
      </c>
      <c r="H19" s="1">
        <v>9888990011</v>
      </c>
      <c r="I19" s="1">
        <v>13</v>
      </c>
      <c r="J19" s="1">
        <v>120</v>
      </c>
      <c r="K19" s="1">
        <v>8</v>
      </c>
      <c r="L19" s="1">
        <f>J19/K19</f>
        <v>15</v>
      </c>
      <c r="M19" s="1" t="s">
        <v>14</v>
      </c>
    </row>
    <row r="20" spans="1:13" x14ac:dyDescent="0.3">
      <c r="A20" s="1" t="s">
        <v>78</v>
      </c>
      <c r="B20" s="1" t="s">
        <v>79</v>
      </c>
      <c r="C20" s="1" t="s">
        <v>182</v>
      </c>
      <c r="D20" s="1" t="s">
        <v>183</v>
      </c>
      <c r="E20" s="1" t="s">
        <v>184</v>
      </c>
      <c r="F20" s="1" t="s">
        <v>162</v>
      </c>
      <c r="G20" s="1" t="s">
        <v>81</v>
      </c>
      <c r="H20" s="1">
        <v>9577889922</v>
      </c>
      <c r="I20" s="1">
        <v>11</v>
      </c>
      <c r="J20" s="1">
        <v>90</v>
      </c>
      <c r="K20" s="1">
        <v>7</v>
      </c>
      <c r="L20" s="1">
        <f>J20/K20</f>
        <v>12.857142857142858</v>
      </c>
      <c r="M20" s="1" t="s">
        <v>14</v>
      </c>
    </row>
    <row r="21" spans="1:13" x14ac:dyDescent="0.3">
      <c r="A21" s="1" t="s">
        <v>82</v>
      </c>
      <c r="B21" s="1" t="s">
        <v>83</v>
      </c>
      <c r="C21" s="1" t="s">
        <v>185</v>
      </c>
      <c r="D21" s="1" t="s">
        <v>186</v>
      </c>
      <c r="E21" s="1" t="s">
        <v>187</v>
      </c>
      <c r="F21" s="1" t="s">
        <v>125</v>
      </c>
      <c r="G21" s="1" t="s">
        <v>85</v>
      </c>
      <c r="H21" s="1">
        <v>9825012345</v>
      </c>
      <c r="I21" s="1">
        <v>15</v>
      </c>
      <c r="J21" s="1">
        <v>350</v>
      </c>
      <c r="K21" s="1">
        <v>15</v>
      </c>
      <c r="L21" s="1">
        <f>J21/K21</f>
        <v>23.333333333333332</v>
      </c>
      <c r="M21" s="1" t="s">
        <v>14</v>
      </c>
    </row>
    <row r="22" spans="1:13" x14ac:dyDescent="0.3">
      <c r="A22" s="1" t="s">
        <v>86</v>
      </c>
      <c r="B22" s="1" t="s">
        <v>87</v>
      </c>
      <c r="C22" s="1" t="s">
        <v>188</v>
      </c>
      <c r="D22" s="1" t="s">
        <v>189</v>
      </c>
      <c r="E22" s="1" t="s">
        <v>190</v>
      </c>
      <c r="F22" s="1" t="s">
        <v>147</v>
      </c>
      <c r="G22" s="1" t="s">
        <v>89</v>
      </c>
      <c r="H22" s="1">
        <v>9833445566</v>
      </c>
      <c r="I22" s="1">
        <v>16</v>
      </c>
      <c r="J22" s="1">
        <v>430</v>
      </c>
      <c r="K22" s="1">
        <v>16</v>
      </c>
      <c r="L22" s="1">
        <f>J22/K22</f>
        <v>26.875</v>
      </c>
      <c r="M22" s="1" t="s">
        <v>14</v>
      </c>
    </row>
    <row r="23" spans="1:13" x14ac:dyDescent="0.3">
      <c r="A23" s="1" t="s">
        <v>90</v>
      </c>
      <c r="B23" s="1" t="s">
        <v>91</v>
      </c>
      <c r="C23" s="1" t="s">
        <v>191</v>
      </c>
      <c r="D23" s="1" t="s">
        <v>192</v>
      </c>
      <c r="E23" s="1" t="s">
        <v>193</v>
      </c>
      <c r="F23" s="1" t="s">
        <v>140</v>
      </c>
      <c r="G23" s="1" t="s">
        <v>93</v>
      </c>
      <c r="H23" s="1">
        <v>9814012345</v>
      </c>
      <c r="I23" s="1">
        <v>14</v>
      </c>
      <c r="J23" s="1">
        <v>260</v>
      </c>
      <c r="K23" s="1">
        <v>13</v>
      </c>
      <c r="L23" s="1">
        <f>J23/K23</f>
        <v>20</v>
      </c>
      <c r="M23" s="1" t="s">
        <v>14</v>
      </c>
    </row>
    <row r="24" spans="1:13" x14ac:dyDescent="0.3">
      <c r="A24" s="1" t="s">
        <v>94</v>
      </c>
      <c r="B24" s="1" t="s">
        <v>95</v>
      </c>
      <c r="C24" s="1" t="s">
        <v>194</v>
      </c>
      <c r="D24" s="1" t="s">
        <v>195</v>
      </c>
      <c r="E24" s="1" t="s">
        <v>196</v>
      </c>
      <c r="F24" s="1" t="s">
        <v>151</v>
      </c>
      <c r="G24" s="1" t="s">
        <v>97</v>
      </c>
      <c r="H24" s="1">
        <v>9744556611</v>
      </c>
      <c r="I24" s="1">
        <v>12</v>
      </c>
      <c r="J24" s="1">
        <v>180</v>
      </c>
      <c r="K24" s="1">
        <v>11</v>
      </c>
      <c r="L24" s="1">
        <f>J24/K24</f>
        <v>16.363636363636363</v>
      </c>
      <c r="M24" s="1" t="s">
        <v>14</v>
      </c>
    </row>
    <row r="25" spans="1:13" x14ac:dyDescent="0.3">
      <c r="A25" s="1" t="s">
        <v>98</v>
      </c>
      <c r="B25" s="1" t="s">
        <v>99</v>
      </c>
      <c r="C25" s="1" t="s">
        <v>197</v>
      </c>
      <c r="D25" s="1" t="s">
        <v>198</v>
      </c>
      <c r="E25" s="1" t="s">
        <v>199</v>
      </c>
      <c r="F25" s="1" t="s">
        <v>181</v>
      </c>
      <c r="G25" s="1" t="s">
        <v>101</v>
      </c>
      <c r="H25" s="1">
        <v>9866112233</v>
      </c>
      <c r="I25" s="1">
        <v>15</v>
      </c>
      <c r="J25" s="1">
        <v>500</v>
      </c>
      <c r="K25" s="1">
        <v>15</v>
      </c>
      <c r="L25" s="1">
        <f>J25/K25</f>
        <v>33.333333333333336</v>
      </c>
      <c r="M25" s="1" t="s">
        <v>14</v>
      </c>
    </row>
    <row r="26" spans="1:13" x14ac:dyDescent="0.3">
      <c r="A26" s="1" t="s">
        <v>54</v>
      </c>
      <c r="B26" s="1" t="s">
        <v>55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57</v>
      </c>
      <c r="H26" s="1">
        <v>9877889900</v>
      </c>
      <c r="I26" s="1">
        <v>14</v>
      </c>
      <c r="J26" s="1">
        <v>310</v>
      </c>
      <c r="K26" s="1">
        <v>14</v>
      </c>
      <c r="L26" s="1">
        <f>J26/K26</f>
        <v>22.142857142857142</v>
      </c>
      <c r="M26" s="1" t="s">
        <v>45</v>
      </c>
    </row>
    <row r="27" spans="1:13" x14ac:dyDescent="0.3">
      <c r="A27" s="1" t="s">
        <v>102</v>
      </c>
      <c r="B27" s="1" t="s">
        <v>103</v>
      </c>
      <c r="C27" s="1" t="s">
        <v>200</v>
      </c>
      <c r="D27" s="1" t="s">
        <v>201</v>
      </c>
      <c r="E27" s="1" t="s">
        <v>202</v>
      </c>
      <c r="F27" s="1" t="s">
        <v>203</v>
      </c>
      <c r="G27" s="1" t="s">
        <v>105</v>
      </c>
      <c r="H27" s="1">
        <v>9815098765</v>
      </c>
      <c r="I27" s="1">
        <v>14</v>
      </c>
      <c r="J27" s="1">
        <v>310</v>
      </c>
      <c r="K27" s="1">
        <v>12</v>
      </c>
      <c r="L27" s="1">
        <f>J27/K27</f>
        <v>25.833333333333332</v>
      </c>
      <c r="M27" s="1" t="s">
        <v>14</v>
      </c>
    </row>
    <row r="28" spans="1:13" x14ac:dyDescent="0.3">
      <c r="A28" s="1" t="s">
        <v>106</v>
      </c>
      <c r="B28" s="1" t="s">
        <v>107</v>
      </c>
      <c r="C28" s="1" t="s">
        <v>204</v>
      </c>
      <c r="D28" s="1" t="s">
        <v>205</v>
      </c>
      <c r="E28" s="1" t="s">
        <v>206</v>
      </c>
      <c r="F28" s="1" t="s">
        <v>129</v>
      </c>
      <c r="G28" s="1" t="s">
        <v>109</v>
      </c>
      <c r="H28" s="1">
        <v>9911223344</v>
      </c>
      <c r="I28" s="1">
        <v>13</v>
      </c>
      <c r="J28" s="1">
        <v>140</v>
      </c>
      <c r="K28" s="1">
        <v>10</v>
      </c>
      <c r="L28" s="1">
        <f>J28/K28</f>
        <v>14</v>
      </c>
      <c r="M28" s="1" t="s">
        <v>14</v>
      </c>
    </row>
    <row r="29" spans="1:13" x14ac:dyDescent="0.3">
      <c r="A29" s="1" t="s">
        <v>110</v>
      </c>
      <c r="B29" s="1" t="s">
        <v>111</v>
      </c>
      <c r="C29" s="1" t="s">
        <v>207</v>
      </c>
      <c r="D29" s="1" t="s">
        <v>208</v>
      </c>
      <c r="E29" s="1" t="s">
        <v>209</v>
      </c>
      <c r="F29" s="1" t="s">
        <v>166</v>
      </c>
      <c r="G29" s="1" t="s">
        <v>113</v>
      </c>
      <c r="H29" s="1">
        <v>9849012345</v>
      </c>
      <c r="I29" s="1">
        <v>16</v>
      </c>
      <c r="J29" s="1">
        <v>670</v>
      </c>
      <c r="K29" s="1">
        <v>16</v>
      </c>
      <c r="L29" s="1">
        <f>J29/K29</f>
        <v>41.875</v>
      </c>
      <c r="M29" s="1" t="s">
        <v>14</v>
      </c>
    </row>
    <row r="30" spans="1:13" x14ac:dyDescent="0.3">
      <c r="A30" s="1" t="s">
        <v>114</v>
      </c>
      <c r="B30" s="1" t="s">
        <v>115</v>
      </c>
      <c r="C30" s="1" t="s">
        <v>210</v>
      </c>
      <c r="D30" s="1" t="s">
        <v>211</v>
      </c>
      <c r="E30" s="1" t="s">
        <v>212</v>
      </c>
      <c r="F30" s="1" t="s">
        <v>151</v>
      </c>
      <c r="G30" s="1" t="s">
        <v>117</v>
      </c>
      <c r="H30" s="1">
        <v>9880012345</v>
      </c>
      <c r="I30" s="1">
        <v>10</v>
      </c>
      <c r="J30" s="1">
        <v>80</v>
      </c>
      <c r="K30" s="1">
        <v>5</v>
      </c>
      <c r="L30" s="1">
        <f>J30/K30</f>
        <v>16</v>
      </c>
      <c r="M30" s="1" t="s">
        <v>14</v>
      </c>
    </row>
    <row r="31" spans="1:13" x14ac:dyDescent="0.3">
      <c r="A31" s="1" t="s">
        <v>118</v>
      </c>
      <c r="B31" s="1" t="s">
        <v>119</v>
      </c>
      <c r="C31" s="1" t="s">
        <v>213</v>
      </c>
      <c r="D31" s="1" t="s">
        <v>214</v>
      </c>
      <c r="E31" s="1" t="s">
        <v>215</v>
      </c>
      <c r="F31" s="1" t="s">
        <v>129</v>
      </c>
      <c r="G31" s="1" t="s">
        <v>121</v>
      </c>
      <c r="H31" s="1">
        <v>9879012345</v>
      </c>
      <c r="I31" s="1">
        <v>15</v>
      </c>
      <c r="J31" s="1">
        <v>410</v>
      </c>
      <c r="K31" s="1">
        <v>14</v>
      </c>
      <c r="L31" s="1">
        <f>J31/K31</f>
        <v>29.285714285714285</v>
      </c>
      <c r="M3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7836-7917-44B4-A3E8-1B9CD9EA9C15}">
  <dimension ref="A1:N31"/>
  <sheetViews>
    <sheetView tabSelected="1" workbookViewId="0">
      <selection activeCell="H5" sqref="H5"/>
    </sheetView>
  </sheetViews>
  <sheetFormatPr defaultRowHeight="14.4" x14ac:dyDescent="0.3"/>
  <cols>
    <col min="1" max="1" width="8.6640625" bestFit="1" customWidth="1"/>
    <col min="2" max="2" width="14.5546875" bestFit="1" customWidth="1"/>
    <col min="3" max="3" width="11.33203125" bestFit="1" customWidth="1"/>
    <col min="4" max="4" width="17.21875" bestFit="1" customWidth="1"/>
    <col min="5" max="5" width="12.109375" bestFit="1" customWidth="1"/>
    <col min="6" max="6" width="11" bestFit="1" customWidth="1"/>
    <col min="7" max="7" width="23" bestFit="1" customWidth="1"/>
    <col min="8" max="8" width="23" customWidth="1"/>
    <col min="9" max="9" width="13.33203125" bestFit="1" customWidth="1"/>
    <col min="10" max="10" width="8" bestFit="1" customWidth="1"/>
    <col min="11" max="11" width="9.44140625" bestFit="1" customWidth="1"/>
    <col min="12" max="12" width="12.77734375" bestFit="1" customWidth="1"/>
    <col min="13" max="13" width="13.5546875" bestFit="1" customWidth="1"/>
    <col min="14" max="14" width="11" bestFit="1" customWidth="1"/>
  </cols>
  <sheetData>
    <row r="1" spans="1:14" x14ac:dyDescent="0.3">
      <c r="A1" s="2" t="s">
        <v>0</v>
      </c>
      <c r="B1" s="2" t="s">
        <v>1</v>
      </c>
      <c r="C1" s="2" t="s">
        <v>216</v>
      </c>
      <c r="D1" s="2" t="s">
        <v>217</v>
      </c>
      <c r="E1" s="2" t="s">
        <v>218</v>
      </c>
      <c r="F1" s="2" t="s">
        <v>219</v>
      </c>
      <c r="G1" s="2" t="s">
        <v>3</v>
      </c>
      <c r="H1" s="2" t="s">
        <v>244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  <row r="2" spans="1:14" x14ac:dyDescent="0.3">
      <c r="A2" s="1" t="s">
        <v>10</v>
      </c>
      <c r="B2" s="1" t="s">
        <v>11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13</v>
      </c>
      <c r="H2" s="1" t="s">
        <v>220</v>
      </c>
      <c r="I2" s="1">
        <v>9876543210</v>
      </c>
      <c r="J2" s="1">
        <v>14</v>
      </c>
      <c r="K2" s="1">
        <v>420</v>
      </c>
      <c r="L2" s="1">
        <v>14</v>
      </c>
      <c r="M2" s="3">
        <f>IFERROR(K2/L2,0)</f>
        <v>30</v>
      </c>
      <c r="N2" s="1" t="s">
        <v>14</v>
      </c>
    </row>
    <row r="3" spans="1:14" x14ac:dyDescent="0.3">
      <c r="A3" s="1" t="s">
        <v>15</v>
      </c>
      <c r="B3" s="1" t="s">
        <v>16</v>
      </c>
      <c r="C3" s="1" t="s">
        <v>126</v>
      </c>
      <c r="D3" s="1" t="s">
        <v>127</v>
      </c>
      <c r="E3" s="1" t="s">
        <v>128</v>
      </c>
      <c r="F3" s="1" t="s">
        <v>129</v>
      </c>
      <c r="G3" s="1" t="s">
        <v>18</v>
      </c>
      <c r="H3" s="1" t="s">
        <v>221</v>
      </c>
      <c r="I3" s="1">
        <v>9812345678</v>
      </c>
      <c r="J3" s="1">
        <v>16</v>
      </c>
      <c r="K3" s="1">
        <v>510</v>
      </c>
      <c r="L3" s="1">
        <v>15</v>
      </c>
      <c r="M3" s="3">
        <f t="shared" ref="M3:M31" si="0">IFERROR(K3/L3,0)</f>
        <v>34</v>
      </c>
      <c r="N3" s="1" t="s">
        <v>14</v>
      </c>
    </row>
    <row r="4" spans="1:14" x14ac:dyDescent="0.3">
      <c r="A4" s="1" t="s">
        <v>19</v>
      </c>
      <c r="B4" s="1" t="s">
        <v>20</v>
      </c>
      <c r="C4" s="1" t="s">
        <v>130</v>
      </c>
      <c r="D4" s="1" t="s">
        <v>131</v>
      </c>
      <c r="E4" s="1" t="s">
        <v>132</v>
      </c>
      <c r="F4" s="1" t="s">
        <v>125</v>
      </c>
      <c r="G4" s="1" t="s">
        <v>22</v>
      </c>
      <c r="H4" s="1" t="s">
        <v>222</v>
      </c>
      <c r="I4" s="1">
        <v>9923456789</v>
      </c>
      <c r="J4" s="1">
        <v>14</v>
      </c>
      <c r="K4" s="1">
        <v>210</v>
      </c>
      <c r="L4" s="1">
        <v>12</v>
      </c>
      <c r="M4" s="3">
        <f t="shared" si="0"/>
        <v>17.5</v>
      </c>
      <c r="N4" s="1" t="s">
        <v>14</v>
      </c>
    </row>
    <row r="5" spans="1:14" x14ac:dyDescent="0.3">
      <c r="A5" s="1" t="s">
        <v>23</v>
      </c>
      <c r="B5" s="1" t="s">
        <v>24</v>
      </c>
      <c r="C5" s="1" t="s">
        <v>133</v>
      </c>
      <c r="D5" s="1" t="s">
        <v>134</v>
      </c>
      <c r="E5" s="1" t="s">
        <v>135</v>
      </c>
      <c r="F5" s="1" t="s">
        <v>136</v>
      </c>
      <c r="G5" s="1" t="s">
        <v>26</v>
      </c>
      <c r="H5" s="1" t="s">
        <v>223</v>
      </c>
      <c r="I5" s="1">
        <v>9845678901</v>
      </c>
      <c r="J5" s="1">
        <v>15</v>
      </c>
      <c r="K5" s="1">
        <v>0</v>
      </c>
      <c r="L5" s="1">
        <v>0</v>
      </c>
      <c r="M5" s="3">
        <f t="shared" si="0"/>
        <v>0</v>
      </c>
      <c r="N5" s="1" t="s">
        <v>27</v>
      </c>
    </row>
    <row r="6" spans="1:14" x14ac:dyDescent="0.3">
      <c r="A6" s="1" t="s">
        <v>28</v>
      </c>
      <c r="B6" s="1" t="s">
        <v>29</v>
      </c>
      <c r="C6" s="1" t="s">
        <v>137</v>
      </c>
      <c r="D6" s="1" t="s">
        <v>138</v>
      </c>
      <c r="E6" s="1" t="s">
        <v>139</v>
      </c>
      <c r="F6" s="1" t="s">
        <v>140</v>
      </c>
      <c r="G6" s="1" t="s">
        <v>31</v>
      </c>
      <c r="H6" s="1" t="s">
        <v>224</v>
      </c>
      <c r="I6" s="1">
        <v>9612345678</v>
      </c>
      <c r="J6" s="1">
        <v>12</v>
      </c>
      <c r="K6" s="1">
        <v>340</v>
      </c>
      <c r="L6" s="1">
        <v>11</v>
      </c>
      <c r="M6" s="3">
        <f t="shared" si="0"/>
        <v>30.90909090909091</v>
      </c>
      <c r="N6" s="1" t="s">
        <v>14</v>
      </c>
    </row>
    <row r="7" spans="1:14" x14ac:dyDescent="0.3">
      <c r="A7" s="1" t="s">
        <v>32</v>
      </c>
      <c r="B7" s="1" t="s">
        <v>33</v>
      </c>
      <c r="C7" s="1" t="s">
        <v>141</v>
      </c>
      <c r="D7" s="1" t="s">
        <v>142</v>
      </c>
      <c r="E7" s="1" t="s">
        <v>143</v>
      </c>
      <c r="F7" s="1" t="s">
        <v>129</v>
      </c>
      <c r="G7" s="1" t="s">
        <v>35</v>
      </c>
      <c r="H7" s="1" t="s">
        <v>225</v>
      </c>
      <c r="I7" s="1">
        <v>9898989898</v>
      </c>
      <c r="J7" s="1">
        <v>14</v>
      </c>
      <c r="K7" s="1">
        <v>180</v>
      </c>
      <c r="L7" s="1">
        <v>12</v>
      </c>
      <c r="M7" s="3">
        <f t="shared" si="0"/>
        <v>15</v>
      </c>
      <c r="N7" s="1" t="s">
        <v>14</v>
      </c>
    </row>
    <row r="8" spans="1:14" x14ac:dyDescent="0.3">
      <c r="A8" s="1" t="s">
        <v>37</v>
      </c>
      <c r="B8" s="1" t="s">
        <v>38</v>
      </c>
      <c r="C8" s="1" t="s">
        <v>144</v>
      </c>
      <c r="D8" s="1" t="s">
        <v>145</v>
      </c>
      <c r="E8" s="1" t="s">
        <v>146</v>
      </c>
      <c r="F8" s="1" t="s">
        <v>147</v>
      </c>
      <c r="G8" s="1" t="s">
        <v>40</v>
      </c>
      <c r="H8" s="1" t="s">
        <v>226</v>
      </c>
      <c r="I8" s="1">
        <v>9822334455</v>
      </c>
      <c r="J8" s="1">
        <v>16</v>
      </c>
      <c r="K8" s="1">
        <v>620</v>
      </c>
      <c r="L8" s="1">
        <v>16</v>
      </c>
      <c r="M8" s="3">
        <f t="shared" si="0"/>
        <v>38.75</v>
      </c>
      <c r="N8" s="1" t="s">
        <v>14</v>
      </c>
    </row>
    <row r="9" spans="1:14" x14ac:dyDescent="0.3">
      <c r="A9" s="1" t="s">
        <v>41</v>
      </c>
      <c r="B9" s="1" t="s">
        <v>42</v>
      </c>
      <c r="C9" s="1" t="s">
        <v>148</v>
      </c>
      <c r="D9" s="1" t="s">
        <v>149</v>
      </c>
      <c r="E9" s="1" t="s">
        <v>150</v>
      </c>
      <c r="F9" s="1" t="s">
        <v>151</v>
      </c>
      <c r="G9" s="1" t="s">
        <v>44</v>
      </c>
      <c r="H9" s="1" t="s">
        <v>227</v>
      </c>
      <c r="I9" s="1">
        <v>9733445566</v>
      </c>
      <c r="J9" s="1">
        <v>11</v>
      </c>
      <c r="K9" s="1">
        <v>150</v>
      </c>
      <c r="L9" s="1">
        <v>9</v>
      </c>
      <c r="M9" s="3">
        <f t="shared" si="0"/>
        <v>16.666666666666668</v>
      </c>
      <c r="N9" s="1" t="s">
        <v>14</v>
      </c>
    </row>
    <row r="10" spans="1:14" x14ac:dyDescent="0.3">
      <c r="A10" s="1" t="s">
        <v>10</v>
      </c>
      <c r="B10" s="1" t="s">
        <v>11</v>
      </c>
      <c r="C10" s="1" t="s">
        <v>122</v>
      </c>
      <c r="D10" s="1" t="s">
        <v>123</v>
      </c>
      <c r="E10" s="1" t="s">
        <v>124</v>
      </c>
      <c r="F10" s="1" t="s">
        <v>125</v>
      </c>
      <c r="G10" s="1" t="s">
        <v>13</v>
      </c>
      <c r="H10" s="1" t="s">
        <v>220</v>
      </c>
      <c r="I10" s="1">
        <v>9876543210</v>
      </c>
      <c r="J10" s="1">
        <v>14</v>
      </c>
      <c r="K10" s="1">
        <v>420</v>
      </c>
      <c r="L10" s="1">
        <v>14</v>
      </c>
      <c r="M10" s="3">
        <f t="shared" si="0"/>
        <v>30</v>
      </c>
      <c r="N10" s="1" t="s">
        <v>45</v>
      </c>
    </row>
    <row r="11" spans="1:14" x14ac:dyDescent="0.3">
      <c r="A11" s="1" t="s">
        <v>46</v>
      </c>
      <c r="B11" s="1" t="s">
        <v>47</v>
      </c>
      <c r="C11" s="1" t="s">
        <v>152</v>
      </c>
      <c r="D11" s="1" t="s">
        <v>153</v>
      </c>
      <c r="E11" s="1" t="s">
        <v>154</v>
      </c>
      <c r="F11" s="1" t="s">
        <v>147</v>
      </c>
      <c r="G11" s="1" t="s">
        <v>49</v>
      </c>
      <c r="H11" s="1" t="s">
        <v>228</v>
      </c>
      <c r="I11" s="1">
        <v>9855667788</v>
      </c>
      <c r="J11" s="1">
        <v>15</v>
      </c>
      <c r="K11" s="1">
        <v>490</v>
      </c>
      <c r="L11" s="1">
        <v>14</v>
      </c>
      <c r="M11" s="3">
        <f t="shared" si="0"/>
        <v>35</v>
      </c>
      <c r="N11" s="1" t="s">
        <v>14</v>
      </c>
    </row>
    <row r="12" spans="1:14" x14ac:dyDescent="0.3">
      <c r="A12" s="1" t="s">
        <v>50</v>
      </c>
      <c r="B12" s="1" t="s">
        <v>51</v>
      </c>
      <c r="C12" s="1" t="s">
        <v>155</v>
      </c>
      <c r="D12" s="1" t="s">
        <v>156</v>
      </c>
      <c r="E12" s="1" t="s">
        <v>157</v>
      </c>
      <c r="F12" s="1" t="s">
        <v>158</v>
      </c>
      <c r="G12" s="1" t="s">
        <v>53</v>
      </c>
      <c r="H12" s="1" t="s">
        <v>229</v>
      </c>
      <c r="I12" s="1">
        <v>9166778899</v>
      </c>
      <c r="J12" s="1">
        <v>13</v>
      </c>
      <c r="K12" s="1">
        <v>280</v>
      </c>
      <c r="L12" s="1">
        <v>13</v>
      </c>
      <c r="M12" s="3">
        <f t="shared" si="0"/>
        <v>21.53846153846154</v>
      </c>
      <c r="N12" s="1" t="s">
        <v>14</v>
      </c>
    </row>
    <row r="13" spans="1:14" x14ac:dyDescent="0.3">
      <c r="A13" s="1" t="s">
        <v>54</v>
      </c>
      <c r="B13" s="1" t="s">
        <v>55</v>
      </c>
      <c r="C13" s="1" t="s">
        <v>159</v>
      </c>
      <c r="D13" s="1" t="s">
        <v>160</v>
      </c>
      <c r="E13" s="1" t="s">
        <v>161</v>
      </c>
      <c r="F13" s="1" t="s">
        <v>162</v>
      </c>
      <c r="G13" s="1" t="s">
        <v>57</v>
      </c>
      <c r="H13" s="1" t="s">
        <v>230</v>
      </c>
      <c r="I13" s="1">
        <v>9877889900</v>
      </c>
      <c r="J13" s="1">
        <v>14</v>
      </c>
      <c r="K13" s="1">
        <v>310</v>
      </c>
      <c r="L13" s="1">
        <v>14</v>
      </c>
      <c r="M13" s="3">
        <f t="shared" si="0"/>
        <v>22.142857142857142</v>
      </c>
      <c r="N13" s="1" t="s">
        <v>14</v>
      </c>
    </row>
    <row r="14" spans="1:14" x14ac:dyDescent="0.3">
      <c r="A14" s="1" t="s">
        <v>58</v>
      </c>
      <c r="B14" s="1" t="s">
        <v>59</v>
      </c>
      <c r="C14" s="1" t="s">
        <v>163</v>
      </c>
      <c r="D14" s="1" t="s">
        <v>164</v>
      </c>
      <c r="E14" s="1" t="s">
        <v>165</v>
      </c>
      <c r="F14" s="1" t="s">
        <v>166</v>
      </c>
      <c r="G14" s="1" t="s">
        <v>61</v>
      </c>
      <c r="H14" s="1" t="s">
        <v>231</v>
      </c>
      <c r="I14" s="1">
        <v>9844556677</v>
      </c>
      <c r="J14" s="1">
        <v>12</v>
      </c>
      <c r="K14" s="1">
        <v>190</v>
      </c>
      <c r="L14" s="1">
        <v>10</v>
      </c>
      <c r="M14" s="3">
        <f t="shared" si="0"/>
        <v>19</v>
      </c>
      <c r="N14" s="1" t="s">
        <v>14</v>
      </c>
    </row>
    <row r="15" spans="1:14" x14ac:dyDescent="0.3">
      <c r="A15" s="1" t="s">
        <v>62</v>
      </c>
      <c r="B15" s="1" t="s">
        <v>63</v>
      </c>
      <c r="C15" s="1" t="s">
        <v>167</v>
      </c>
      <c r="D15" s="1" t="s">
        <v>168</v>
      </c>
      <c r="E15" s="1" t="s">
        <v>169</v>
      </c>
      <c r="F15" s="1" t="s">
        <v>170</v>
      </c>
      <c r="G15" s="1" t="s">
        <v>65</v>
      </c>
      <c r="H15" s="1" t="s">
        <v>232</v>
      </c>
      <c r="I15" s="1">
        <v>9955443322</v>
      </c>
      <c r="J15" s="1">
        <v>16</v>
      </c>
      <c r="K15" s="1">
        <v>580</v>
      </c>
      <c r="L15" s="1">
        <v>15</v>
      </c>
      <c r="M15" s="3">
        <f t="shared" si="0"/>
        <v>38.666666666666664</v>
      </c>
      <c r="N15" s="1" t="s">
        <v>14</v>
      </c>
    </row>
    <row r="16" spans="1:14" x14ac:dyDescent="0.3">
      <c r="A16" s="1" t="s">
        <v>66</v>
      </c>
      <c r="B16" s="1" t="s">
        <v>67</v>
      </c>
      <c r="C16" s="1" t="s">
        <v>171</v>
      </c>
      <c r="D16" s="1" t="s">
        <v>172</v>
      </c>
      <c r="E16" s="1" t="s">
        <v>150</v>
      </c>
      <c r="F16" s="1" t="s">
        <v>173</v>
      </c>
      <c r="G16" s="1" t="s">
        <v>69</v>
      </c>
      <c r="H16" s="1" t="s">
        <v>233</v>
      </c>
      <c r="I16" s="1">
        <v>9811223344</v>
      </c>
      <c r="J16" s="1">
        <v>15</v>
      </c>
      <c r="K16" s="1">
        <v>230</v>
      </c>
      <c r="L16" s="1">
        <v>12</v>
      </c>
      <c r="M16" s="3">
        <f t="shared" si="0"/>
        <v>19.166666666666668</v>
      </c>
      <c r="N16" s="1" t="s">
        <v>14</v>
      </c>
    </row>
    <row r="17" spans="1:14" x14ac:dyDescent="0.3">
      <c r="A17" s="1" t="s">
        <v>70</v>
      </c>
      <c r="B17" s="1" t="s">
        <v>71</v>
      </c>
      <c r="C17" s="1" t="s">
        <v>174</v>
      </c>
      <c r="D17" s="1" t="s">
        <v>175</v>
      </c>
      <c r="E17" s="1" t="s">
        <v>176</v>
      </c>
      <c r="F17" s="1" t="s">
        <v>177</v>
      </c>
      <c r="G17" s="1" t="s">
        <v>73</v>
      </c>
      <c r="H17" s="1" t="s">
        <v>234</v>
      </c>
      <c r="I17" s="1">
        <v>9866778811</v>
      </c>
      <c r="J17" s="1">
        <v>14</v>
      </c>
      <c r="K17" s="1">
        <v>400</v>
      </c>
      <c r="L17" s="1">
        <v>14</v>
      </c>
      <c r="M17" s="3">
        <f t="shared" si="0"/>
        <v>28.571428571428573</v>
      </c>
      <c r="N17" s="1" t="s">
        <v>14</v>
      </c>
    </row>
    <row r="18" spans="1:14" x14ac:dyDescent="0.3">
      <c r="A18" s="1" t="s">
        <v>37</v>
      </c>
      <c r="B18" s="1" t="s">
        <v>38</v>
      </c>
      <c r="C18" s="1" t="s">
        <v>144</v>
      </c>
      <c r="D18" s="1" t="s">
        <v>145</v>
      </c>
      <c r="E18" s="1" t="s">
        <v>146</v>
      </c>
      <c r="F18" s="1" t="s">
        <v>147</v>
      </c>
      <c r="G18" s="1" t="s">
        <v>40</v>
      </c>
      <c r="H18" s="1" t="s">
        <v>226</v>
      </c>
      <c r="I18" s="1">
        <v>9822334455</v>
      </c>
      <c r="J18" s="1">
        <v>16</v>
      </c>
      <c r="K18" s="1">
        <v>620</v>
      </c>
      <c r="L18" s="1">
        <v>16</v>
      </c>
      <c r="M18" s="3">
        <f t="shared" si="0"/>
        <v>38.75</v>
      </c>
      <c r="N18" s="1" t="s">
        <v>45</v>
      </c>
    </row>
    <row r="19" spans="1:14" x14ac:dyDescent="0.3">
      <c r="A19" s="1" t="s">
        <v>74</v>
      </c>
      <c r="B19" s="1" t="s">
        <v>75</v>
      </c>
      <c r="C19" s="1" t="s">
        <v>178</v>
      </c>
      <c r="D19" s="1" t="s">
        <v>179</v>
      </c>
      <c r="E19" s="1" t="s">
        <v>180</v>
      </c>
      <c r="F19" s="1" t="s">
        <v>181</v>
      </c>
      <c r="G19" s="1" t="s">
        <v>77</v>
      </c>
      <c r="H19" s="1" t="s">
        <v>235</v>
      </c>
      <c r="I19" s="1">
        <v>9888990011</v>
      </c>
      <c r="J19" s="1">
        <v>13</v>
      </c>
      <c r="K19" s="1">
        <v>120</v>
      </c>
      <c r="L19" s="1">
        <v>8</v>
      </c>
      <c r="M19" s="3">
        <f t="shared" si="0"/>
        <v>15</v>
      </c>
      <c r="N19" s="1" t="s">
        <v>14</v>
      </c>
    </row>
    <row r="20" spans="1:14" x14ac:dyDescent="0.3">
      <c r="A20" s="1" t="s">
        <v>78</v>
      </c>
      <c r="B20" s="1" t="s">
        <v>79</v>
      </c>
      <c r="C20" s="1" t="s">
        <v>182</v>
      </c>
      <c r="D20" s="1" t="s">
        <v>183</v>
      </c>
      <c r="E20" s="1" t="s">
        <v>184</v>
      </c>
      <c r="F20" s="1" t="s">
        <v>162</v>
      </c>
      <c r="G20" s="1" t="s">
        <v>81</v>
      </c>
      <c r="H20" s="1" t="s">
        <v>236</v>
      </c>
      <c r="I20" s="1">
        <v>9577889922</v>
      </c>
      <c r="J20" s="1">
        <v>11</v>
      </c>
      <c r="K20" s="1">
        <v>90</v>
      </c>
      <c r="L20" s="1">
        <v>7</v>
      </c>
      <c r="M20" s="3">
        <f t="shared" si="0"/>
        <v>12.857142857142858</v>
      </c>
      <c r="N20" s="1" t="s">
        <v>14</v>
      </c>
    </row>
    <row r="21" spans="1:14" x14ac:dyDescent="0.3">
      <c r="A21" s="1" t="s">
        <v>82</v>
      </c>
      <c r="B21" s="1" t="s">
        <v>83</v>
      </c>
      <c r="C21" s="1" t="s">
        <v>185</v>
      </c>
      <c r="D21" s="1" t="s">
        <v>186</v>
      </c>
      <c r="E21" s="1" t="s">
        <v>187</v>
      </c>
      <c r="F21" s="1" t="s">
        <v>125</v>
      </c>
      <c r="G21" s="1" t="s">
        <v>85</v>
      </c>
      <c r="H21" s="1" t="s">
        <v>237</v>
      </c>
      <c r="I21" s="1">
        <v>9825012345</v>
      </c>
      <c r="J21" s="1">
        <v>15</v>
      </c>
      <c r="K21" s="1">
        <v>350</v>
      </c>
      <c r="L21" s="1">
        <v>15</v>
      </c>
      <c r="M21" s="3">
        <f t="shared" si="0"/>
        <v>23.333333333333332</v>
      </c>
      <c r="N21" s="1" t="s">
        <v>14</v>
      </c>
    </row>
    <row r="22" spans="1:14" x14ac:dyDescent="0.3">
      <c r="A22" s="1" t="s">
        <v>86</v>
      </c>
      <c r="B22" s="1" t="s">
        <v>87</v>
      </c>
      <c r="C22" s="1" t="s">
        <v>188</v>
      </c>
      <c r="D22" s="1" t="s">
        <v>189</v>
      </c>
      <c r="E22" s="1" t="s">
        <v>190</v>
      </c>
      <c r="F22" s="1" t="s">
        <v>147</v>
      </c>
      <c r="G22" s="1" t="s">
        <v>89</v>
      </c>
      <c r="H22" s="1" t="s">
        <v>238</v>
      </c>
      <c r="I22" s="1">
        <v>9833445566</v>
      </c>
      <c r="J22" s="1">
        <v>16</v>
      </c>
      <c r="K22" s="1">
        <v>430</v>
      </c>
      <c r="L22" s="1">
        <v>16</v>
      </c>
      <c r="M22" s="3">
        <f t="shared" si="0"/>
        <v>26.875</v>
      </c>
      <c r="N22" s="1" t="s">
        <v>14</v>
      </c>
    </row>
    <row r="23" spans="1:14" x14ac:dyDescent="0.3">
      <c r="A23" s="1" t="s">
        <v>90</v>
      </c>
      <c r="B23" s="1" t="s">
        <v>91</v>
      </c>
      <c r="C23" s="1" t="s">
        <v>191</v>
      </c>
      <c r="D23" s="1" t="s">
        <v>192</v>
      </c>
      <c r="E23" s="1" t="s">
        <v>193</v>
      </c>
      <c r="F23" s="1" t="s">
        <v>140</v>
      </c>
      <c r="G23" s="1" t="s">
        <v>93</v>
      </c>
      <c r="H23" s="1" t="s">
        <v>239</v>
      </c>
      <c r="I23" s="1">
        <v>9814012345</v>
      </c>
      <c r="J23" s="1">
        <v>14</v>
      </c>
      <c r="K23" s="1">
        <v>260</v>
      </c>
      <c r="L23" s="1">
        <v>13</v>
      </c>
      <c r="M23" s="3">
        <f t="shared" si="0"/>
        <v>20</v>
      </c>
      <c r="N23" s="1" t="s">
        <v>14</v>
      </c>
    </row>
    <row r="24" spans="1:14" x14ac:dyDescent="0.3">
      <c r="A24" s="1" t="s">
        <v>94</v>
      </c>
      <c r="B24" s="1" t="s">
        <v>95</v>
      </c>
      <c r="C24" s="1" t="s">
        <v>194</v>
      </c>
      <c r="D24" s="1" t="s">
        <v>195</v>
      </c>
      <c r="E24" s="1" t="s">
        <v>196</v>
      </c>
      <c r="F24" s="1" t="s">
        <v>151</v>
      </c>
      <c r="G24" s="1" t="s">
        <v>97</v>
      </c>
      <c r="H24" s="1" t="s">
        <v>240</v>
      </c>
      <c r="I24" s="1">
        <v>9744556611</v>
      </c>
      <c r="J24" s="1">
        <v>12</v>
      </c>
      <c r="K24" s="1">
        <v>180</v>
      </c>
      <c r="L24" s="1">
        <v>11</v>
      </c>
      <c r="M24" s="3">
        <f t="shared" si="0"/>
        <v>16.363636363636363</v>
      </c>
      <c r="N24" s="1" t="s">
        <v>14</v>
      </c>
    </row>
    <row r="25" spans="1:14" x14ac:dyDescent="0.3">
      <c r="A25" s="1" t="s">
        <v>98</v>
      </c>
      <c r="B25" s="1" t="s">
        <v>99</v>
      </c>
      <c r="C25" s="1" t="s">
        <v>197</v>
      </c>
      <c r="D25" s="1" t="s">
        <v>198</v>
      </c>
      <c r="E25" s="1" t="s">
        <v>199</v>
      </c>
      <c r="F25" s="1" t="s">
        <v>181</v>
      </c>
      <c r="G25" s="1" t="s">
        <v>101</v>
      </c>
      <c r="H25" s="1" t="s">
        <v>241</v>
      </c>
      <c r="I25" s="1">
        <v>9866112233</v>
      </c>
      <c r="J25" s="1">
        <v>15</v>
      </c>
      <c r="K25" s="1">
        <v>500</v>
      </c>
      <c r="L25" s="1">
        <v>15</v>
      </c>
      <c r="M25" s="3">
        <f t="shared" si="0"/>
        <v>33.333333333333336</v>
      </c>
      <c r="N25" s="1" t="s">
        <v>14</v>
      </c>
    </row>
    <row r="26" spans="1:14" x14ac:dyDescent="0.3">
      <c r="A26" s="1" t="s">
        <v>54</v>
      </c>
      <c r="B26" s="1" t="s">
        <v>55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57</v>
      </c>
      <c r="H26" s="1" t="s">
        <v>230</v>
      </c>
      <c r="I26" s="1">
        <v>9877889900</v>
      </c>
      <c r="J26" s="1">
        <v>14</v>
      </c>
      <c r="K26" s="1">
        <v>310</v>
      </c>
      <c r="L26" s="1">
        <v>14</v>
      </c>
      <c r="M26" s="3">
        <f t="shared" si="0"/>
        <v>22.142857142857142</v>
      </c>
      <c r="N26" s="1" t="s">
        <v>45</v>
      </c>
    </row>
    <row r="27" spans="1:14" x14ac:dyDescent="0.3">
      <c r="A27" s="1" t="s">
        <v>102</v>
      </c>
      <c r="B27" s="1" t="s">
        <v>103</v>
      </c>
      <c r="C27" s="1" t="s">
        <v>200</v>
      </c>
      <c r="D27" s="1" t="s">
        <v>201</v>
      </c>
      <c r="E27" s="1" t="s">
        <v>202</v>
      </c>
      <c r="F27" s="1" t="s">
        <v>203</v>
      </c>
      <c r="G27" s="1" t="s">
        <v>105</v>
      </c>
      <c r="H27" s="1" t="s">
        <v>242</v>
      </c>
      <c r="I27" s="1">
        <v>9815098765</v>
      </c>
      <c r="J27" s="1">
        <v>14</v>
      </c>
      <c r="K27" s="1">
        <v>310</v>
      </c>
      <c r="L27" s="1">
        <v>12</v>
      </c>
      <c r="M27" s="3">
        <f t="shared" si="0"/>
        <v>25.833333333333332</v>
      </c>
      <c r="N27" s="1" t="s">
        <v>14</v>
      </c>
    </row>
    <row r="28" spans="1:14" x14ac:dyDescent="0.3">
      <c r="A28" s="1" t="s">
        <v>106</v>
      </c>
      <c r="B28" s="1" t="s">
        <v>107</v>
      </c>
      <c r="C28" s="1" t="s">
        <v>204</v>
      </c>
      <c r="D28" s="1" t="s">
        <v>205</v>
      </c>
      <c r="E28" s="1" t="s">
        <v>206</v>
      </c>
      <c r="F28" s="1" t="s">
        <v>129</v>
      </c>
      <c r="G28" s="1" t="s">
        <v>109</v>
      </c>
      <c r="H28" s="1" t="s">
        <v>243</v>
      </c>
      <c r="I28" s="1">
        <v>9911223344</v>
      </c>
      <c r="J28" s="1">
        <v>13</v>
      </c>
      <c r="K28" s="1">
        <v>140</v>
      </c>
      <c r="L28" s="1">
        <v>10</v>
      </c>
      <c r="M28" s="3">
        <f t="shared" si="0"/>
        <v>14</v>
      </c>
      <c r="N28" s="1" t="s">
        <v>14</v>
      </c>
    </row>
    <row r="29" spans="1:14" x14ac:dyDescent="0.3">
      <c r="A29" s="1" t="s">
        <v>110</v>
      </c>
      <c r="B29" s="1" t="s">
        <v>111</v>
      </c>
      <c r="C29" s="1" t="s">
        <v>207</v>
      </c>
      <c r="D29" s="1" t="s">
        <v>208</v>
      </c>
      <c r="E29" s="1" t="s">
        <v>209</v>
      </c>
      <c r="F29" s="1" t="s">
        <v>166</v>
      </c>
      <c r="G29" s="1" t="s">
        <v>113</v>
      </c>
      <c r="H29" s="1" t="s">
        <v>245</v>
      </c>
      <c r="I29" s="1">
        <v>9849012345</v>
      </c>
      <c r="J29" s="1">
        <v>16</v>
      </c>
      <c r="K29" s="1">
        <v>670</v>
      </c>
      <c r="L29" s="1">
        <v>16</v>
      </c>
      <c r="M29" s="3">
        <f t="shared" si="0"/>
        <v>41.875</v>
      </c>
      <c r="N29" s="1" t="s">
        <v>14</v>
      </c>
    </row>
    <row r="30" spans="1:14" x14ac:dyDescent="0.3">
      <c r="A30" s="1" t="s">
        <v>114</v>
      </c>
      <c r="B30" s="1" t="s">
        <v>115</v>
      </c>
      <c r="C30" s="1" t="s">
        <v>210</v>
      </c>
      <c r="D30" s="1" t="s">
        <v>211</v>
      </c>
      <c r="E30" s="1" t="s">
        <v>212</v>
      </c>
      <c r="F30" s="1" t="s">
        <v>151</v>
      </c>
      <c r="G30" s="1" t="s">
        <v>117</v>
      </c>
      <c r="H30" s="1" t="s">
        <v>246</v>
      </c>
      <c r="I30" s="1">
        <v>9880012345</v>
      </c>
      <c r="J30" s="1">
        <v>10</v>
      </c>
      <c r="K30" s="1">
        <v>80</v>
      </c>
      <c r="L30" s="1">
        <v>5</v>
      </c>
      <c r="M30" s="3">
        <f t="shared" si="0"/>
        <v>16</v>
      </c>
      <c r="N30" s="1" t="s">
        <v>14</v>
      </c>
    </row>
    <row r="31" spans="1:14" x14ac:dyDescent="0.3">
      <c r="A31" s="1" t="s">
        <v>118</v>
      </c>
      <c r="B31" s="1" t="s">
        <v>119</v>
      </c>
      <c r="C31" s="1" t="s">
        <v>213</v>
      </c>
      <c r="D31" s="1" t="s">
        <v>214</v>
      </c>
      <c r="E31" s="1" t="s">
        <v>215</v>
      </c>
      <c r="F31" s="1" t="s">
        <v>129</v>
      </c>
      <c r="G31" s="1" t="s">
        <v>121</v>
      </c>
      <c r="H31" s="1" t="s">
        <v>247</v>
      </c>
      <c r="I31" s="1">
        <v>9879012345</v>
      </c>
      <c r="J31" s="1">
        <v>15</v>
      </c>
      <c r="K31" s="1">
        <v>410</v>
      </c>
      <c r="L31" s="1">
        <v>14</v>
      </c>
      <c r="M31" s="3">
        <f t="shared" si="0"/>
        <v>29.285714285714285</v>
      </c>
      <c r="N31" s="1" t="s">
        <v>14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85CBF0-9B3A-44D7-AE2F-2FF050BA45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3,4&amp;5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2026-07-19T18:37:34Z</dcterms:created>
  <dcterms:modified xsi:type="dcterms:W3CDTF">2026-07-19T19:16:14Z</dcterms:modified>
</cp:coreProperties>
</file>